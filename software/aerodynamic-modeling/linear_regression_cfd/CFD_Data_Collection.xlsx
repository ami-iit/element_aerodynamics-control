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eta=180" sheetId="1" state="visible" r:id="rId2"/>
    <sheet name="Beta=270" sheetId="2" state="visible" r:id="rId3"/>
    <sheet name="Alpha=90" sheetId="3" state="visible" r:id="rId4"/>
    <sheet name="Alpha=60" sheetId="4" state="visible" r:id="rId5"/>
    <sheet name="Alpha=120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<sst xmlns="http://schemas.openxmlformats.org/spreadsheetml/2006/main" count="255" uniqueCount="47">
  <si>
    <t xml:space="preserve">Beta=180 deg</t>
  </si>
  <si>
    <t xml:space="preserve"> m^2</t>
  </si>
  <si>
    <t xml:space="preserve"> m/s</t>
  </si>
  <si>
    <t xml:space="preserve">Overall Alpha Angle=150 degree</t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</si>
  <si>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=120 degree</t>
    </r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</si>
  <si>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=90 degree</t>
    </r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</si>
  <si>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=60 degree</t>
    </r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</si>
  <si>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=30 degree</t>
    </r>
  </si>
  <si>
    <t xml:space="preserve">link name</t>
  </si>
  <si>
    <t xml:space="preserve">gama</t>
  </si>
  <si>
    <t xml:space="preserve">Ka</t>
  </si>
  <si>
    <t xml:space="preserve">Va</t>
  </si>
  <si>
    <t xml:space="preserve">AoA</t>
  </si>
  <si>
    <t xml:space="preserve">Drag</t>
  </si>
  <si>
    <t xml:space="preserve">Normal</t>
  </si>
  <si>
    <t xml:space="preserve">C_D</t>
  </si>
  <si>
    <t xml:space="preserve">C_N</t>
  </si>
  <si>
    <t xml:space="preserve">head</t>
  </si>
  <si>
    <t xml:space="preserve">chest</t>
  </si>
  <si>
    <t xml:space="preserve">root link</t>
  </si>
  <si>
    <t xml:space="preserve">r_upper_arm</t>
  </si>
  <si>
    <t xml:space="preserve">l_upper_arm</t>
  </si>
  <si>
    <t xml:space="preserve">r_elbow_1</t>
  </si>
  <si>
    <t xml:space="preserve">l_elbow_1</t>
  </si>
  <si>
    <t xml:space="preserve">r_upper_leg</t>
  </si>
  <si>
    <t xml:space="preserve">l_upper_leg</t>
  </si>
  <si>
    <t xml:space="preserve">r_lower_leg</t>
  </si>
  <si>
    <t xml:space="preserve">l_lower_leg</t>
  </si>
  <si>
    <t xml:space="preserve">r_foot</t>
  </si>
  <si>
    <t xml:space="preserve">l_foot</t>
  </si>
  <si>
    <t xml:space="preserve">global force</t>
  </si>
  <si>
    <t xml:space="preserve">Beta=270 deg</t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</si>
  <si>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=180 degree</t>
    </r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</si>
  <si>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=160 degree</t>
    </r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</si>
  <si>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=45 degree</t>
    </r>
  </si>
  <si>
    <r>
      <rPr>
        <sz val="10"/>
        <rFont val="Arial"/>
        <family val="2"/>
        <charset val="1"/>
      </rPr>
      <t xml:space="preserve">Overall </t>
    </r>
    <r>
      <rPr>
        <sz val="10"/>
        <rFont val="Arial"/>
        <family val="2"/>
      </rPr>
      <t xml:space="preserve">Alpha Angle</t>
    </r>
    <r>
      <rPr>
        <sz val="10"/>
        <rFont val="Arial"/>
        <family val="2"/>
        <charset val="1"/>
      </rPr>
      <t xml:space="preserve">=15 degree</t>
    </r>
  </si>
  <si>
    <t xml:space="preserve">Alpha=90 deg</t>
  </si>
  <si>
    <t xml:space="preserve">Beta= 180degree</t>
  </si>
  <si>
    <t xml:space="preserve">Beta=225 degree</t>
  </si>
  <si>
    <t xml:space="preserve">Beta=270 degree</t>
  </si>
  <si>
    <t xml:space="preserve">Beta=315degree</t>
  </si>
  <si>
    <t xml:space="preserve">Beta=360 degree</t>
  </si>
  <si>
    <t xml:space="preserve">Beta</t>
  </si>
  <si>
    <t xml:space="preserve">Alpha=60 deg</t>
  </si>
  <si>
    <t xml:space="preserve">Beta=315 degree</t>
  </si>
  <si>
    <t xml:space="preserve">Alpha=120 deg</t>
  </si>
  <si>
    <t xml:space="preserve">Beta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</si>
</sst>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29ACF"/>
        <bgColor rgb="FF969696"/>
      </patternFill>
    </fill>
    <fill>
      <patternFill patternType="solid">
        <fgColor rgb="FFFFDBB6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A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33" activeCellId="0" sqref="C33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2" width="7.22"/>
    <col collapsed="false" customWidth="true" hidden="false" outlineLevel="0" max="3" min="3" style="0" width="11.33"/>
    <col collapsed="false" customWidth="true" hidden="false" outlineLevel="0" max="4" min="4" style="3" width="4.44"/>
    <col collapsed="false" customWidth="true" hidden="false" outlineLevel="0" max="5" min="5" style="4" width="4.44"/>
    <col collapsed="false" customWidth="true" hidden="false" outlineLevel="0" max="6" min="6" style="4" width="9.13"/>
    <col collapsed="false" customWidth="true" hidden="false" outlineLevel="0" max="7" min="7" style="0" width="9.13"/>
    <col collapsed="false" customWidth="true" hidden="false" outlineLevel="0" max="8" min="8" style="0" width="13.02"/>
    <col collapsed="false" customWidth="true" hidden="false" outlineLevel="0" max="9" min="9" style="4" width="13.02"/>
    <col collapsed="false" customWidth="true" hidden="false" outlineLevel="0" max="10" min="10" style="2" width="4.44"/>
    <col collapsed="false" customWidth="true" hidden="false" outlineLevel="0" max="11" min="11" style="4" width="8.89"/>
    <col collapsed="false" customWidth="true" hidden="false" outlineLevel="0" max="12" min="12" style="4" width="9.13"/>
    <col collapsed="false" customWidth="true" hidden="false" outlineLevel="0" max="13" min="13" style="3" width="12.44"/>
    <col collapsed="false" customWidth="true" hidden="false" outlineLevel="0" max="14" min="14" style="3" width="13.02"/>
    <col collapsed="false" customWidth="true" hidden="false" outlineLevel="0" max="15" min="15" style="2" width="4.44"/>
    <col collapsed="false" customWidth="true" hidden="false" outlineLevel="0" max="16" min="16" style="4" width="8.89"/>
    <col collapsed="false" customWidth="true" hidden="false" outlineLevel="0" max="17" min="17" style="4" width="9.13"/>
    <col collapsed="false" customWidth="true" hidden="false" outlineLevel="0" max="18" min="18" style="4" width="12.44"/>
    <col collapsed="false" customWidth="true" hidden="false" outlineLevel="0" max="19" min="19" style="3" width="13.02"/>
    <col collapsed="false" customWidth="true" hidden="false" outlineLevel="0" max="20" min="20" style="2" width="4.44"/>
    <col collapsed="false" customWidth="true" hidden="false" outlineLevel="0" max="21" min="21" style="3" width="8.89"/>
    <col collapsed="false" customWidth="true" hidden="false" outlineLevel="0" max="22" min="22" style="2" width="9.13"/>
    <col collapsed="false" customWidth="true" hidden="false" outlineLevel="0" max="23" min="23" style="0" width="12.44"/>
    <col collapsed="false" customWidth="true" hidden="false" outlineLevel="0" max="24" min="24" style="3" width="13.02"/>
    <col collapsed="false" customWidth="true" hidden="false" outlineLevel="0" max="25" min="25" style="1" width="4.44"/>
    <col collapsed="false" customWidth="true" hidden="false" outlineLevel="0" max="26" min="26" style="0" width="8.89"/>
    <col collapsed="false" customWidth="true" hidden="false" outlineLevel="0" max="27" min="27" style="0" width="9.13"/>
    <col collapsed="false" customWidth="true" hidden="false" outlineLevel="0" max="28" min="28" style="0" width="12.44"/>
    <col collapsed="false" customWidth="true" hidden="false" outlineLevel="0" max="29" min="29" style="3" width="13.02"/>
  </cols>
  <sheetData>
    <row r="1" customFormat="false" ht="29.55" hidden="false" customHeight="true" outlineLevel="0" collapsed="false">
      <c r="A1" s="5" t="s">
        <v>0</v>
      </c>
      <c r="B1" s="6" t="s">
        <v>1</v>
      </c>
      <c r="C1" s="7"/>
      <c r="D1" s="8" t="s">
        <v>2</v>
      </c>
      <c r="E1" s="9" t="s">
        <v>3</v>
      </c>
      <c r="F1" s="9"/>
      <c r="G1" s="9"/>
      <c r="H1" s="9"/>
      <c r="I1" s="9"/>
      <c r="J1" s="10" t="s">
        <v>4</v>
      </c>
      <c r="K1" s="10"/>
      <c r="L1" s="10"/>
      <c r="M1" s="10"/>
      <c r="N1" s="10"/>
      <c r="O1" s="10" t="s">
        <v>5</v>
      </c>
      <c r="P1" s="10"/>
      <c r="Q1" s="10"/>
      <c r="R1" s="10"/>
      <c r="S1" s="10"/>
      <c r="T1" s="10" t="s">
        <v>6</v>
      </c>
      <c r="U1" s="10"/>
      <c r="V1" s="10"/>
      <c r="W1" s="10"/>
      <c r="X1" s="10"/>
      <c r="Y1" s="10" t="s">
        <v>7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5" t="s">
        <v>12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12</v>
      </c>
      <c r="K2" s="16" t="s">
        <v>13</v>
      </c>
      <c r="L2" s="17" t="s">
        <v>14</v>
      </c>
      <c r="M2" s="18" t="s">
        <v>15</v>
      </c>
      <c r="N2" s="4" t="s">
        <v>16</v>
      </c>
      <c r="O2" s="19" t="s">
        <v>12</v>
      </c>
      <c r="P2" s="16" t="s">
        <v>13</v>
      </c>
      <c r="Q2" s="17" t="s">
        <v>14</v>
      </c>
      <c r="R2" s="18" t="s">
        <v>15</v>
      </c>
      <c r="S2" s="4" t="s">
        <v>16</v>
      </c>
      <c r="T2" s="19" t="s">
        <v>12</v>
      </c>
      <c r="U2" s="16" t="s">
        <v>13</v>
      </c>
      <c r="V2" s="17" t="s">
        <v>14</v>
      </c>
      <c r="W2" s="18" t="s">
        <v>15</v>
      </c>
      <c r="X2" s="4" t="s">
        <v>16</v>
      </c>
      <c r="Y2" s="19" t="s">
        <v>12</v>
      </c>
      <c r="Z2" s="16" t="s">
        <v>13</v>
      </c>
      <c r="AA2" s="17" t="s">
        <v>14</v>
      </c>
      <c r="AB2" s="18" t="s">
        <v>15</v>
      </c>
      <c r="AC2" s="4" t="s">
        <v>16</v>
      </c>
    </row>
    <row r="3" customFormat="false" ht="12.8" hidden="false" customHeight="false" outlineLevel="0" collapsed="false">
      <c r="A3" s="1" t="s">
        <v>17</v>
      </c>
      <c r="B3" s="2" t="n">
        <v>0.0429</v>
      </c>
      <c r="C3" s="18" t="n">
        <f aca="false">B3*1.225/2</f>
        <v>0.02627625</v>
      </c>
      <c r="D3" s="3" t="n">
        <v>7.5</v>
      </c>
      <c r="E3" s="4" t="n">
        <v>150</v>
      </c>
      <c r="F3" s="20" t="n">
        <v>0.3337</v>
      </c>
      <c r="G3" s="20" t="n">
        <v>0.233</v>
      </c>
      <c r="H3" s="18" t="n">
        <f aca="false">F3/C3/(D3)^2</f>
        <v>0.225772111486397</v>
      </c>
      <c r="I3" s="4" t="n">
        <f aca="false">G3/C3/(D3)^2</f>
        <v>0.157641300498443</v>
      </c>
      <c r="J3" s="2" t="n">
        <v>120</v>
      </c>
      <c r="K3" s="20" t="n">
        <v>0.2311</v>
      </c>
      <c r="L3" s="20" t="n">
        <v>0.3194</v>
      </c>
      <c r="M3" s="18" t="n">
        <f aca="false">K3/C3/(D3)^2</f>
        <v>0.156355813498671</v>
      </c>
      <c r="N3" s="3" t="n">
        <f aca="false">L3/C3/(D3)^2</f>
        <v>0.216097130382845</v>
      </c>
      <c r="O3" s="2" t="n">
        <v>90</v>
      </c>
      <c r="P3" s="20" t="n">
        <v>1.057</v>
      </c>
      <c r="Q3" s="20" t="n">
        <v>1.503</v>
      </c>
      <c r="R3" s="18" t="n">
        <f aca="false">P3/C3/(D3)^2</f>
        <v>0.715136715136715</v>
      </c>
      <c r="S3" s="3" t="n">
        <f aca="false">Q3/C3/(D3)^2</f>
        <v>1.01688787403073</v>
      </c>
      <c r="T3" s="2" t="n">
        <v>60</v>
      </c>
      <c r="U3" s="20" t="n">
        <v>1.176</v>
      </c>
      <c r="V3" s="20" t="n">
        <v>0.9099</v>
      </c>
      <c r="W3" s="18" t="n">
        <f aca="false">U3/C3/(D3)^2</f>
        <v>0.795648795648796</v>
      </c>
      <c r="X3" s="3" t="n">
        <f aca="false">V3/C3/(D3)^2</f>
        <v>0.615612958470101</v>
      </c>
      <c r="Y3" s="2" t="n">
        <v>30</v>
      </c>
      <c r="Z3" s="20" t="n">
        <v>1.406</v>
      </c>
      <c r="AA3" s="20" t="n">
        <v>0.6653</v>
      </c>
      <c r="AB3" s="18" t="n">
        <f aca="false">Z3/C3/(D3)^2</f>
        <v>0.951260379831808</v>
      </c>
      <c r="AC3" s="3" t="n">
        <f aca="false">AA3/C3/(D3)^2</f>
        <v>0.450123421551993</v>
      </c>
    </row>
    <row r="4" customFormat="false" ht="12.8" hidden="false" customHeight="false" outlineLevel="0" collapsed="false">
      <c r="A4" s="1" t="s">
        <v>18</v>
      </c>
      <c r="B4" s="2" t="n">
        <v>0.153</v>
      </c>
      <c r="C4" s="18" t="n">
        <f aca="false">B4*1.225/2</f>
        <v>0.0937125</v>
      </c>
      <c r="D4" s="3" t="n">
        <v>7.5</v>
      </c>
      <c r="E4" s="4" t="n">
        <v>150</v>
      </c>
      <c r="F4" s="20" t="n">
        <v>4.099</v>
      </c>
      <c r="G4" s="20" t="n">
        <v>0.2882</v>
      </c>
      <c r="H4" s="18" t="n">
        <f aca="false">F4/C4/(D4)^2</f>
        <v>0.777602893009056</v>
      </c>
      <c r="I4" s="4" t="n">
        <f aca="false">G4/C4/(D4)^2</f>
        <v>0.0546731285106635</v>
      </c>
      <c r="J4" s="2" t="n">
        <v>120</v>
      </c>
      <c r="K4" s="20" t="n">
        <v>4.584</v>
      </c>
      <c r="L4" s="20" t="n">
        <v>-0.996</v>
      </c>
      <c r="M4" s="18" t="n">
        <f aca="false">K4/C4/(D4)^2</f>
        <v>0.869610066248722</v>
      </c>
      <c r="N4" s="3" t="n">
        <f aca="false">L4/C4/(D4)^2</f>
        <v>-0.188946689787026</v>
      </c>
      <c r="O4" s="2" t="n">
        <v>90</v>
      </c>
      <c r="P4" s="20" t="n">
        <v>5.531</v>
      </c>
      <c r="Q4" s="20" t="n">
        <v>0.208</v>
      </c>
      <c r="R4" s="18" t="n">
        <f aca="false">P4/C4/(D4)^2</f>
        <v>1.04926118595586</v>
      </c>
      <c r="S4" s="3" t="n">
        <f aca="false">Q4/C4/(D4)^2</f>
        <v>0.0394587464615476</v>
      </c>
      <c r="T4" s="2" t="n">
        <v>60</v>
      </c>
      <c r="U4" s="20" t="n">
        <v>4.616</v>
      </c>
      <c r="V4" s="20" t="n">
        <v>1.01</v>
      </c>
      <c r="W4" s="18" t="n">
        <f aca="false">U4/C4/(D4)^2</f>
        <v>0.875680642627421</v>
      </c>
      <c r="X4" s="3" t="n">
        <f aca="false">V4/C4/(D4)^2</f>
        <v>0.191602566952707</v>
      </c>
      <c r="Y4" s="2" t="n">
        <v>30</v>
      </c>
      <c r="Z4" s="20" t="n">
        <v>4.478</v>
      </c>
      <c r="AA4" s="20" t="n">
        <v>0.1715</v>
      </c>
      <c r="AB4" s="18" t="n">
        <f aca="false">Z4/C4/(D4)^2</f>
        <v>0.849501281994279</v>
      </c>
      <c r="AC4" s="3" t="n">
        <f aca="false">AA4/C4/(D4)^2</f>
        <v>0.0325344952795933</v>
      </c>
    </row>
    <row r="5" customFormat="false" ht="12.8" hidden="false" customHeight="false" outlineLevel="0" collapsed="false">
      <c r="A5" s="1" t="s">
        <v>19</v>
      </c>
      <c r="B5" s="2" t="n">
        <v>0.0484</v>
      </c>
      <c r="C5" s="18" t="n">
        <f aca="false">B5*1.225/2</f>
        <v>0.029645</v>
      </c>
      <c r="D5" s="3" t="n">
        <v>7.5</v>
      </c>
      <c r="E5" s="4" t="n">
        <v>150</v>
      </c>
      <c r="F5" s="20" t="n">
        <v>1.035</v>
      </c>
      <c r="G5" s="20" t="n">
        <v>-0.5033</v>
      </c>
      <c r="H5" s="18" t="n">
        <f aca="false">F5/C5/(D5)^2</f>
        <v>0.620678023275426</v>
      </c>
      <c r="I5" s="4" t="n">
        <f aca="false">G5/C5/(D5)^2</f>
        <v>-0.301823429096156</v>
      </c>
      <c r="J5" s="2" t="n">
        <v>120</v>
      </c>
      <c r="K5" s="20" t="n">
        <v>1.379</v>
      </c>
      <c r="L5" s="20" t="n">
        <v>-0.7746</v>
      </c>
      <c r="M5" s="18" t="n">
        <f aca="false">K5/C5/(D5)^2</f>
        <v>0.826971008789191</v>
      </c>
      <c r="N5" s="3" t="n">
        <f aca="false">L5/C5/(D5)^2</f>
        <v>-0.464519030752797</v>
      </c>
      <c r="O5" s="2" t="n">
        <v>90</v>
      </c>
      <c r="P5" s="20" t="n">
        <v>1.221</v>
      </c>
      <c r="Q5" s="20" t="n">
        <v>-0.5253</v>
      </c>
      <c r="R5" s="18" t="n">
        <f aca="false">P5/C5/(D5)^2</f>
        <v>0.732220160791589</v>
      </c>
      <c r="S5" s="3" t="n">
        <f aca="false">Q5/C5/(D5)^2</f>
        <v>-0.315016585146455</v>
      </c>
      <c r="T5" s="2" t="n">
        <v>60</v>
      </c>
      <c r="U5" s="20" t="n">
        <v>0.9426</v>
      </c>
      <c r="V5" s="20" t="n">
        <v>-0.5697</v>
      </c>
      <c r="W5" s="18" t="n">
        <f aca="false">U5/C5/(D5)^2</f>
        <v>0.56526676786417</v>
      </c>
      <c r="X5" s="3" t="n">
        <f aca="false">V5/C5/(D5)^2</f>
        <v>-0.341642772811604</v>
      </c>
      <c r="Y5" s="2" t="n">
        <v>30</v>
      </c>
      <c r="Z5" s="20" t="n">
        <v>0.2347</v>
      </c>
      <c r="AA5" s="20" t="n">
        <v>-0.2006</v>
      </c>
      <c r="AB5" s="18" t="n">
        <f aca="false">Z5/C5/(D5)^2</f>
        <v>0.140746987500234</v>
      </c>
      <c r="AC5" s="3" t="n">
        <f aca="false">AA5/C5/(D5)^2</f>
        <v>-0.120297595622271</v>
      </c>
    </row>
    <row r="6" customFormat="false" ht="12.8" hidden="false" customHeight="false" outlineLevel="0" collapsed="false">
      <c r="A6" s="1" t="s">
        <v>20</v>
      </c>
      <c r="B6" s="2" t="n">
        <v>0.0136</v>
      </c>
      <c r="C6" s="18" t="n">
        <f aca="false">B6*1.225/2</f>
        <v>0.00833</v>
      </c>
      <c r="D6" s="3" t="n">
        <v>7.5</v>
      </c>
      <c r="E6" s="4" t="n">
        <v>138.5069</v>
      </c>
      <c r="F6" s="20" t="n">
        <v>0.03256</v>
      </c>
      <c r="G6" s="20" t="n">
        <v>0.07224</v>
      </c>
      <c r="H6" s="18" t="n">
        <f aca="false">F6/C6/(D6)^2</f>
        <v>0.0694891289849273</v>
      </c>
      <c r="I6" s="4" t="n">
        <f aca="false">G6/C6/(D6)^2</f>
        <v>0.154173669467787</v>
      </c>
      <c r="J6" s="2" t="n">
        <v>112</v>
      </c>
      <c r="K6" s="20" t="n">
        <v>0.1182</v>
      </c>
      <c r="L6" s="20" t="n">
        <v>-0.1341</v>
      </c>
      <c r="M6" s="18" t="n">
        <f aca="false">K6/C6/(D6)^2</f>
        <v>0.252260904361745</v>
      </c>
      <c r="N6" s="3" t="n">
        <f aca="false">L6/C6/(D6)^2</f>
        <v>-0.286194477791116</v>
      </c>
      <c r="O6" s="2" t="n">
        <v>84</v>
      </c>
      <c r="P6" s="20" t="n">
        <v>0.2587</v>
      </c>
      <c r="Q6" s="20" t="n">
        <v>0.0005918</v>
      </c>
      <c r="R6" s="18" t="n">
        <f aca="false">P6/C6/(D6)^2</f>
        <v>0.552114179004935</v>
      </c>
      <c r="S6" s="3" t="n">
        <f aca="false">Q6/C6/(D6)^2</f>
        <v>0.00126301187141523</v>
      </c>
      <c r="T6" s="2" t="n">
        <v>57</v>
      </c>
      <c r="U6" s="20" t="n">
        <v>0.5164</v>
      </c>
      <c r="V6" s="20" t="n">
        <v>0.06938</v>
      </c>
      <c r="W6" s="18" t="n">
        <f aca="false">U6/C6/(D6)^2</f>
        <v>1.10209417100173</v>
      </c>
      <c r="X6" s="3" t="n">
        <f aca="false">V6/C6/(D6)^2</f>
        <v>0.148069894624517</v>
      </c>
      <c r="Y6" s="2" t="n">
        <v>32</v>
      </c>
      <c r="Z6" s="20" t="n">
        <v>0.5605</v>
      </c>
      <c r="AA6" s="20" t="n">
        <v>0.105</v>
      </c>
      <c r="AB6" s="18" t="n">
        <f aca="false">Z6/C6/(D6)^2</f>
        <v>1.19621181806056</v>
      </c>
      <c r="AC6" s="3" t="n">
        <f aca="false">AA6/C6/(D6)^2</f>
        <v>0.224089635854342</v>
      </c>
    </row>
    <row r="7" customFormat="false" ht="12.8" hidden="false" customHeight="false" outlineLevel="0" collapsed="false">
      <c r="A7" s="1" t="s">
        <v>21</v>
      </c>
      <c r="B7" s="2" t="n">
        <v>0.0136</v>
      </c>
      <c r="C7" s="18" t="n">
        <f aca="false">B7*1.225/2</f>
        <v>0.00833</v>
      </c>
      <c r="D7" s="3" t="n">
        <v>7.5</v>
      </c>
      <c r="E7" s="4" t="n">
        <v>138.51</v>
      </c>
      <c r="F7" s="20" t="n">
        <v>0.02817</v>
      </c>
      <c r="G7" s="20" t="n">
        <v>0.09735</v>
      </c>
      <c r="H7" s="18" t="n">
        <f aca="false">F7/C7/(D7)^2</f>
        <v>0.0601200480192077</v>
      </c>
      <c r="I7" s="4" t="n">
        <f aca="false">G7/C7/(D7)^2</f>
        <v>0.207763105242097</v>
      </c>
      <c r="J7" s="2" t="n">
        <v>112</v>
      </c>
      <c r="K7" s="20" t="n">
        <v>0.1283</v>
      </c>
      <c r="L7" s="20" t="n">
        <v>-0.1443</v>
      </c>
      <c r="M7" s="18" t="n">
        <f aca="false">K7/C7/(D7)^2</f>
        <v>0.273816193143924</v>
      </c>
      <c r="N7" s="3" t="n">
        <f aca="false">L7/C7/(D7)^2</f>
        <v>-0.30796318527411</v>
      </c>
      <c r="O7" s="2" t="n">
        <v>84</v>
      </c>
      <c r="P7" s="20" t="n">
        <v>0.2606</v>
      </c>
      <c r="Q7" s="20" t="n">
        <v>-0.002649</v>
      </c>
      <c r="R7" s="18" t="n">
        <f aca="false">P7/C7/(D7)^2</f>
        <v>0.556169134320395</v>
      </c>
      <c r="S7" s="3" t="n">
        <f aca="false">Q7/C7/(D7)^2</f>
        <v>-0.00565346138455382</v>
      </c>
      <c r="T7" s="2" t="n">
        <v>57</v>
      </c>
      <c r="U7" s="20" t="n">
        <v>0.4374</v>
      </c>
      <c r="V7" s="20" t="n">
        <v>0.04302</v>
      </c>
      <c r="W7" s="18" t="n">
        <f aca="false">U7/C7/(D7)^2</f>
        <v>0.933493397358943</v>
      </c>
      <c r="X7" s="3" t="n">
        <f aca="false">V7/C7/(D7)^2</f>
        <v>0.091812725090036</v>
      </c>
      <c r="Y7" s="2" t="n">
        <v>32</v>
      </c>
      <c r="Z7" s="20" t="n">
        <v>0.5603</v>
      </c>
      <c r="AA7" s="20" t="n">
        <v>0.1188</v>
      </c>
      <c r="AB7" s="18" t="n">
        <f aca="false">Z7/C7/(D7)^2</f>
        <v>1.19578498065893</v>
      </c>
      <c r="AC7" s="3" t="n">
        <f aca="false">AA7/C7/(D7)^2</f>
        <v>0.253541416566627</v>
      </c>
    </row>
    <row r="8" customFormat="false" ht="12.8" hidden="false" customHeight="false" outlineLevel="0" collapsed="false">
      <c r="A8" s="1" t="s">
        <v>22</v>
      </c>
      <c r="B8" s="2" t="n">
        <v>0.0433</v>
      </c>
      <c r="C8" s="18" t="n">
        <f aca="false">B8*1.225/2</f>
        <v>0.02652125</v>
      </c>
      <c r="D8" s="3" t="n">
        <v>7.5</v>
      </c>
      <c r="E8" s="4" t="n">
        <v>131</v>
      </c>
      <c r="F8" s="20" t="n">
        <v>1.59</v>
      </c>
      <c r="G8" s="20" t="n">
        <v>0.01428</v>
      </c>
      <c r="H8" s="18" t="n">
        <f aca="false">F8/C8/(D8)^2</f>
        <v>1.06581200609574</v>
      </c>
      <c r="I8" s="4" t="n">
        <f aca="false">G8/C8/(D8)^2</f>
        <v>0.00957219839436929</v>
      </c>
      <c r="J8" s="2" t="n">
        <v>102</v>
      </c>
      <c r="K8" s="20" t="n">
        <v>1.751</v>
      </c>
      <c r="L8" s="20" t="n">
        <v>-0.08667</v>
      </c>
      <c r="M8" s="18" t="n">
        <f aca="false">K8/C8/(D8)^2</f>
        <v>1.17373385073814</v>
      </c>
      <c r="N8" s="3" t="n">
        <f aca="false">L8/C8/(D8)^2</f>
        <v>-0.0580968091624641</v>
      </c>
      <c r="O8" s="2" t="n">
        <v>73</v>
      </c>
      <c r="P8" s="20" t="n">
        <v>1.288</v>
      </c>
      <c r="Q8" s="20" t="n">
        <v>0.01417</v>
      </c>
      <c r="R8" s="18" t="n">
        <f aca="false">P8/C8/(D8)^2</f>
        <v>0.863374757139191</v>
      </c>
      <c r="S8" s="3" t="n">
        <f aca="false">Q8/C8/(D8)^2</f>
        <v>0.00949846297256393</v>
      </c>
      <c r="T8" s="2" t="n">
        <v>43</v>
      </c>
      <c r="U8" s="20" t="n">
        <v>1.261</v>
      </c>
      <c r="V8" s="20" t="n">
        <v>0.02431</v>
      </c>
      <c r="W8" s="18" t="n">
        <f aca="false">U8/C8/(D8)^2</f>
        <v>0.845276062696056</v>
      </c>
      <c r="X8" s="3" t="n">
        <f aca="false">V8/C8/(D8)^2</f>
        <v>0.0162955282189858</v>
      </c>
      <c r="Y8" s="2" t="n">
        <v>17</v>
      </c>
      <c r="Z8" s="20" t="n">
        <v>1.07</v>
      </c>
      <c r="AA8" s="20" t="n">
        <v>0.4913</v>
      </c>
      <c r="AB8" s="18" t="n">
        <f aca="false">Z8/C8/(D8)^2</f>
        <v>0.717244557561285</v>
      </c>
      <c r="AC8" s="3" t="n">
        <f aca="false">AA8/C8/(D8)^2</f>
        <v>0.32932920666342</v>
      </c>
    </row>
    <row r="9" customFormat="false" ht="12.8" hidden="false" customHeight="false" outlineLevel="0" collapsed="false">
      <c r="A9" s="1" t="s">
        <v>23</v>
      </c>
      <c r="B9" s="2" t="n">
        <v>0.0433</v>
      </c>
      <c r="C9" s="18" t="n">
        <f aca="false">B9*1.225/2</f>
        <v>0.02652125</v>
      </c>
      <c r="D9" s="3" t="n">
        <v>7.5</v>
      </c>
      <c r="E9" s="4" t="n">
        <v>131</v>
      </c>
      <c r="F9" s="20" t="n">
        <v>1.525</v>
      </c>
      <c r="G9" s="20" t="n">
        <v>0.01786</v>
      </c>
      <c r="H9" s="18" t="n">
        <f aca="false">F9/C9/(D9)^2</f>
        <v>1.02224107502893</v>
      </c>
      <c r="I9" s="4" t="n">
        <f aca="false">G9/C9/(D9)^2</f>
        <v>0.0119719512131257</v>
      </c>
      <c r="J9" s="2" t="n">
        <v>102</v>
      </c>
      <c r="K9" s="20" t="n">
        <v>1.659</v>
      </c>
      <c r="L9" s="20" t="n">
        <v>-0.1256</v>
      </c>
      <c r="M9" s="18" t="n">
        <f aca="false">K9/C9/(D9)^2</f>
        <v>1.1120642252282</v>
      </c>
      <c r="N9" s="3" t="n">
        <f aca="false">L9/C9/(D9)^2</f>
        <v>-0.0841924452613994</v>
      </c>
      <c r="O9" s="2" t="n">
        <v>73</v>
      </c>
      <c r="P9" s="20" t="n">
        <v>1.287</v>
      </c>
      <c r="Q9" s="20" t="n">
        <v>0.03256</v>
      </c>
      <c r="R9" s="18" t="n">
        <f aca="false">P9/C9/(D9)^2</f>
        <v>0.862704435122779</v>
      </c>
      <c r="S9" s="3" t="n">
        <f aca="false">Q9/C9/(D9)^2</f>
        <v>0.0218256848543882</v>
      </c>
      <c r="T9" s="2" t="n">
        <v>43</v>
      </c>
      <c r="U9" s="20" t="n">
        <v>1.206</v>
      </c>
      <c r="V9" s="20" t="n">
        <v>-0.1391</v>
      </c>
      <c r="W9" s="18" t="n">
        <f aca="false">U9/C9/(D9)^2</f>
        <v>0.808408351793373</v>
      </c>
      <c r="X9" s="3" t="n">
        <f aca="false">V9/C9/(D9)^2</f>
        <v>-0.093241792482967</v>
      </c>
      <c r="Y9" s="2" t="n">
        <v>17</v>
      </c>
      <c r="Z9" s="20" t="n">
        <v>1.095</v>
      </c>
      <c r="AA9" s="20" t="n">
        <v>0.4857</v>
      </c>
      <c r="AB9" s="18" t="n">
        <f aca="false">Z9/C9/(D9)^2</f>
        <v>0.734002607971595</v>
      </c>
      <c r="AC9" s="3" t="n">
        <f aca="false">AA9/C9/(D9)^2</f>
        <v>0.32557540337151</v>
      </c>
    </row>
    <row r="10" customFormat="false" ht="12.8" hidden="false" customHeight="false" outlineLevel="0" collapsed="false">
      <c r="A10" s="1" t="s">
        <v>24</v>
      </c>
      <c r="B10" s="2" t="n">
        <v>0.0247</v>
      </c>
      <c r="C10" s="18" t="n">
        <f aca="false">B10*1.225/2</f>
        <v>0.01512875</v>
      </c>
      <c r="D10" s="3" t="n">
        <v>7.5</v>
      </c>
      <c r="E10" s="4" t="n">
        <v>150</v>
      </c>
      <c r="F10" s="20" t="n">
        <v>0.161</v>
      </c>
      <c r="G10" s="20" t="n">
        <v>-0.2011</v>
      </c>
      <c r="H10" s="18" t="n">
        <f aca="false">F10/C10/(D10)^2</f>
        <v>0.189190926033031</v>
      </c>
      <c r="I10" s="4" t="n">
        <f aca="false">G10/C10/(D10)^2</f>
        <v>-0.23631239270337</v>
      </c>
      <c r="J10" s="2" t="n">
        <v>120</v>
      </c>
      <c r="K10" s="20" t="n">
        <v>0.7832</v>
      </c>
      <c r="L10" s="20" t="n">
        <v>-0.2132</v>
      </c>
      <c r="M10" s="18" t="n">
        <f aca="false">K10/C10/(D10)^2</f>
        <v>0.920337473720932</v>
      </c>
      <c r="N10" s="3" t="n">
        <f aca="false">L10/C10/(D10)^2</f>
        <v>-0.250531089628834</v>
      </c>
      <c r="O10" s="2" t="n">
        <v>90</v>
      </c>
      <c r="P10" s="20" t="n">
        <v>0.5718</v>
      </c>
      <c r="Q10" s="20" t="n">
        <v>0.1936</v>
      </c>
      <c r="R10" s="18" t="n">
        <f aca="false">P10/C10/(D10)^2</f>
        <v>0.671921562147126</v>
      </c>
      <c r="S10" s="3" t="n">
        <f aca="false">Q10/C10/(D10)^2</f>
        <v>0.227499150807421</v>
      </c>
      <c r="T10" s="2" t="n">
        <v>60</v>
      </c>
      <c r="U10" s="20" t="n">
        <v>0.5947</v>
      </c>
      <c r="V10" s="20" t="n">
        <v>0.4684</v>
      </c>
      <c r="W10" s="18" t="n">
        <f aca="false">U10/C10/(D10)^2</f>
        <v>0.698831327402756</v>
      </c>
      <c r="X10" s="3" t="n">
        <f aca="false">V10/C10/(D10)^2</f>
        <v>0.55041633387498</v>
      </c>
      <c r="Y10" s="2" t="n">
        <v>30</v>
      </c>
      <c r="Z10" s="20" t="n">
        <v>-0.06396</v>
      </c>
      <c r="AA10" s="20" t="n">
        <v>0.1061</v>
      </c>
      <c r="AB10" s="18" t="n">
        <f aca="false">Z10/C10/(D10)^2</f>
        <v>-0.0751593268886502</v>
      </c>
      <c r="AC10" s="3" t="n">
        <f aca="false">AA10/C10/(D10)^2</f>
        <v>0.124677995354687</v>
      </c>
    </row>
    <row r="11" customFormat="false" ht="12.8" hidden="false" customHeight="false" outlineLevel="0" collapsed="false">
      <c r="A11" s="1" t="s">
        <v>25</v>
      </c>
      <c r="B11" s="2" t="n">
        <v>0.0247</v>
      </c>
      <c r="C11" s="18" t="n">
        <f aca="false">B11*1.225/2</f>
        <v>0.01512875</v>
      </c>
      <c r="D11" s="3" t="n">
        <v>7.5</v>
      </c>
      <c r="E11" s="4" t="n">
        <v>150</v>
      </c>
      <c r="F11" s="20" t="n">
        <v>0.1902</v>
      </c>
      <c r="G11" s="20" t="n">
        <v>-0.1878</v>
      </c>
      <c r="H11" s="18" t="n">
        <f aca="false">F11/C11/(D11)^2</f>
        <v>0.223503814481258</v>
      </c>
      <c r="I11" s="4" t="n">
        <f aca="false">G11/C11/(D11)^2</f>
        <v>-0.220683577074554</v>
      </c>
      <c r="J11" s="2" t="n">
        <v>120</v>
      </c>
      <c r="K11" s="20" t="n">
        <v>0.7627</v>
      </c>
      <c r="L11" s="20" t="n">
        <v>-0.1716</v>
      </c>
      <c r="M11" s="18" t="n">
        <f aca="false">K11/C11/(D11)^2</f>
        <v>0.896247945872006</v>
      </c>
      <c r="N11" s="3" t="n">
        <f aca="false">L11/C11/(D11)^2</f>
        <v>-0.201646974579305</v>
      </c>
      <c r="O11" s="2" t="n">
        <v>90</v>
      </c>
      <c r="P11" s="20" t="n">
        <v>0.5277</v>
      </c>
      <c r="Q11" s="20" t="n">
        <v>0.1958</v>
      </c>
      <c r="R11" s="18" t="n">
        <f aca="false">P11/C11/(D11)^2</f>
        <v>0.620099699798948</v>
      </c>
      <c r="S11" s="3" t="n">
        <f aca="false">Q11/C11/(D11)^2</f>
        <v>0.230084368430233</v>
      </c>
      <c r="T11" s="2" t="n">
        <v>60</v>
      </c>
      <c r="U11" s="20" t="n">
        <v>0.3983</v>
      </c>
      <c r="V11" s="20" t="n">
        <v>0.3375</v>
      </c>
      <c r="W11" s="18" t="n">
        <f aca="false">U11/C11/(D11)^2</f>
        <v>0.468041899620847</v>
      </c>
      <c r="X11" s="3" t="n">
        <f aca="false">V11/C11/(D11)^2</f>
        <v>0.39659588531769</v>
      </c>
      <c r="Y11" s="2" t="n">
        <v>30</v>
      </c>
      <c r="Z11" s="20" t="n">
        <v>-0.0539</v>
      </c>
      <c r="AA11" s="20" t="n">
        <v>0.1203</v>
      </c>
      <c r="AB11" s="18" t="n">
        <f aca="false">Z11/C11/(D11)^2</f>
        <v>-0.0633378317588844</v>
      </c>
      <c r="AC11" s="3" t="n">
        <f aca="false">AA11/C11/(D11)^2</f>
        <v>0.141364400011017</v>
      </c>
    </row>
    <row r="12" customFormat="false" ht="12.8" hidden="false" customHeight="false" outlineLevel="0" collapsed="false">
      <c r="A12" s="1" t="s">
        <v>26</v>
      </c>
      <c r="B12" s="2" t="n">
        <v>0.026</v>
      </c>
      <c r="C12" s="18" t="n">
        <f aca="false">B12*1.225/2</f>
        <v>0.015925</v>
      </c>
      <c r="D12" s="3" t="n">
        <v>7.5</v>
      </c>
      <c r="E12" s="4" t="n">
        <v>150</v>
      </c>
      <c r="F12" s="20" t="n">
        <v>0.2443</v>
      </c>
      <c r="G12" s="20" t="n">
        <v>-0.3339</v>
      </c>
      <c r="H12" s="18" t="n">
        <f aca="false">F12/C12/(D12)^2</f>
        <v>0.272722832722833</v>
      </c>
      <c r="I12" s="4" t="n">
        <f aca="false">G12/C12/(D12)^2</f>
        <v>-0.372747252747253</v>
      </c>
      <c r="J12" s="2" t="n">
        <v>120</v>
      </c>
      <c r="K12" s="20" t="n">
        <v>0.6848</v>
      </c>
      <c r="L12" s="20" t="n">
        <v>-0.4701</v>
      </c>
      <c r="M12" s="18" t="n">
        <f aca="false">K12/C12/(D12)^2</f>
        <v>0.764472353043782</v>
      </c>
      <c r="N12" s="3" t="n">
        <f aca="false">L12/C12/(D12)^2</f>
        <v>-0.524793301936159</v>
      </c>
      <c r="O12" s="2" t="n">
        <v>90</v>
      </c>
      <c r="P12" s="20" t="n">
        <v>0.7342</v>
      </c>
      <c r="Q12" s="20" t="n">
        <v>-0.2135</v>
      </c>
      <c r="R12" s="18" t="n">
        <f aca="false">P12/C12/(D12)^2</f>
        <v>0.819619745334031</v>
      </c>
      <c r="S12" s="3" t="n">
        <f aca="false">Q12/C12/(D12)^2</f>
        <v>-0.238339438339438</v>
      </c>
      <c r="T12" s="2" t="n">
        <v>60</v>
      </c>
      <c r="U12" s="20" t="n">
        <v>0.5188</v>
      </c>
      <c r="V12" s="20" t="n">
        <v>0.1361</v>
      </c>
      <c r="W12" s="18" t="n">
        <f aca="false">U12/C12/(D12)^2</f>
        <v>0.579159253444968</v>
      </c>
      <c r="X12" s="3" t="n">
        <f aca="false">V12/C12/(D12)^2</f>
        <v>0.151934414791558</v>
      </c>
      <c r="Y12" s="2" t="n">
        <v>30</v>
      </c>
      <c r="Z12" s="20" t="n">
        <v>0.1569</v>
      </c>
      <c r="AA12" s="20" t="n">
        <v>0.05283</v>
      </c>
      <c r="AB12" s="18" t="n">
        <f aca="false">Z12/C12/(D12)^2</f>
        <v>0.175154369440084</v>
      </c>
      <c r="AC12" s="3" t="n">
        <f aca="false">AA12/C12/(D12)^2</f>
        <v>0.0589764521193093</v>
      </c>
    </row>
    <row r="13" customFormat="false" ht="12.8" hidden="false" customHeight="false" outlineLevel="0" collapsed="false">
      <c r="A13" s="1" t="s">
        <v>27</v>
      </c>
      <c r="B13" s="2" t="n">
        <v>0.026</v>
      </c>
      <c r="C13" s="18" t="n">
        <f aca="false">B13*1.225/2</f>
        <v>0.015925</v>
      </c>
      <c r="D13" s="3" t="n">
        <v>7.5</v>
      </c>
      <c r="E13" s="4" t="n">
        <v>150</v>
      </c>
      <c r="F13" s="20" t="n">
        <v>0.2243</v>
      </c>
      <c r="G13" s="20" t="n">
        <v>-0.2849</v>
      </c>
      <c r="H13" s="18" t="n">
        <f aca="false">F13/C13/(D13)^2</f>
        <v>0.250395953253096</v>
      </c>
      <c r="I13" s="4" t="n">
        <f aca="false">G13/C13/(D13)^2</f>
        <v>-0.318046398046398</v>
      </c>
      <c r="J13" s="2" t="n">
        <v>120</v>
      </c>
      <c r="K13" s="20" t="n">
        <v>0.687</v>
      </c>
      <c r="L13" s="20" t="n">
        <v>-0.4713</v>
      </c>
      <c r="M13" s="18" t="n">
        <f aca="false">K13/C13/(D13)^2</f>
        <v>0.766928309785453</v>
      </c>
      <c r="N13" s="3" t="n">
        <f aca="false">L13/C13/(D13)^2</f>
        <v>-0.526132914704343</v>
      </c>
      <c r="O13" s="2" t="n">
        <v>90</v>
      </c>
      <c r="P13" s="20" t="n">
        <v>0.5861</v>
      </c>
      <c r="Q13" s="20" t="n">
        <v>-0.1641</v>
      </c>
      <c r="R13" s="18" t="n">
        <f aca="false">P13/C13/(D13)^2</f>
        <v>0.654289202860631</v>
      </c>
      <c r="S13" s="3" t="n">
        <f aca="false">Q13/C13/(D13)^2</f>
        <v>-0.183192046049189</v>
      </c>
      <c r="T13" s="2" t="n">
        <v>60</v>
      </c>
      <c r="U13" s="20" t="n">
        <v>0.5</v>
      </c>
      <c r="V13" s="20" t="n">
        <v>0.1446</v>
      </c>
      <c r="W13" s="18" t="n">
        <f aca="false">U13/C13/(D13)^2</f>
        <v>0.558171986743415</v>
      </c>
      <c r="X13" s="3" t="n">
        <f aca="false">V13/C13/(D13)^2</f>
        <v>0.161423338566196</v>
      </c>
      <c r="Y13" s="2" t="n">
        <v>30</v>
      </c>
      <c r="Z13" s="20" t="n">
        <v>0.1922</v>
      </c>
      <c r="AA13" s="20" t="n">
        <v>0.07951</v>
      </c>
      <c r="AB13" s="18" t="n">
        <f aca="false">Z13/C13/(D13)^2</f>
        <v>0.214561311704169</v>
      </c>
      <c r="AC13" s="3" t="n">
        <f aca="false">AA13/C13/(D13)^2</f>
        <v>0.0887605093319379</v>
      </c>
    </row>
    <row r="14" customFormat="false" ht="12.8" hidden="false" customHeight="false" outlineLevel="0" collapsed="false">
      <c r="A14" s="1" t="s">
        <v>28</v>
      </c>
      <c r="B14" s="2" t="n">
        <v>0.0052</v>
      </c>
      <c r="C14" s="18" t="n">
        <f aca="false">B14*1.225/2</f>
        <v>0.003185</v>
      </c>
      <c r="D14" s="3" t="n">
        <v>7.5</v>
      </c>
      <c r="E14" s="4" t="n">
        <v>150</v>
      </c>
      <c r="F14" s="20" t="n">
        <v>0.2322</v>
      </c>
      <c r="G14" s="20" t="n">
        <v>-0.1177</v>
      </c>
      <c r="H14" s="18" t="n">
        <f aca="false">F14/C14/(D14)^2</f>
        <v>1.29607535321821</v>
      </c>
      <c r="I14" s="4" t="n">
        <f aca="false">G14/C14/(D14)^2</f>
        <v>-0.656968428397</v>
      </c>
      <c r="J14" s="2" t="n">
        <v>120</v>
      </c>
      <c r="K14" s="20" t="n">
        <v>0.1394</v>
      </c>
      <c r="L14" s="20" t="n">
        <v>-0.1296</v>
      </c>
      <c r="M14" s="18" t="n">
        <f aca="false">K14/C14/(D14)^2</f>
        <v>0.778091749520321</v>
      </c>
      <c r="N14" s="3" t="n">
        <f aca="false">L14/C14/(D14)^2</f>
        <v>-0.723390894819466</v>
      </c>
      <c r="O14" s="2" t="n">
        <v>90</v>
      </c>
      <c r="P14" s="20" t="n">
        <v>0.1409</v>
      </c>
      <c r="Q14" s="20" t="n">
        <v>-0.3306</v>
      </c>
      <c r="R14" s="18" t="n">
        <f aca="false">P14/C14/(D14)^2</f>
        <v>0.786464329321472</v>
      </c>
      <c r="S14" s="3" t="n">
        <f aca="false">Q14/C14/(D14)^2</f>
        <v>-1.84531658817373</v>
      </c>
      <c r="T14" s="2" t="n">
        <v>60</v>
      </c>
      <c r="U14" s="20" t="n">
        <v>0.1264</v>
      </c>
      <c r="V14" s="20" t="n">
        <v>-0.1006</v>
      </c>
      <c r="W14" s="18" t="n">
        <f aca="false">U14/C14/(D14)^2</f>
        <v>0.705529391243677</v>
      </c>
      <c r="X14" s="3" t="n">
        <f aca="false">V14/C14/(D14)^2</f>
        <v>-0.561521018663876</v>
      </c>
      <c r="Y14" s="2" t="n">
        <v>30</v>
      </c>
      <c r="Z14" s="20" t="n">
        <v>0.0596</v>
      </c>
      <c r="AA14" s="20" t="n">
        <v>-0.05355</v>
      </c>
      <c r="AB14" s="18" t="n">
        <f aca="false">Z14/C14/(D14)^2</f>
        <v>0.332670504099075</v>
      </c>
      <c r="AC14" s="3" t="n">
        <f aca="false">AA14/C14/(D14)^2</f>
        <v>-0.298901098901099</v>
      </c>
    </row>
    <row r="15" customFormat="false" ht="12.8" hidden="false" customHeight="false" outlineLevel="0" collapsed="false">
      <c r="A15" s="1" t="s">
        <v>29</v>
      </c>
      <c r="B15" s="2" t="n">
        <v>0.0052</v>
      </c>
      <c r="C15" s="18" t="n">
        <f aca="false">B15*1.225/2</f>
        <v>0.003185</v>
      </c>
      <c r="D15" s="3" t="n">
        <v>7.5</v>
      </c>
      <c r="E15" s="4" t="n">
        <v>150</v>
      </c>
      <c r="F15" s="20" t="n">
        <v>0.225</v>
      </c>
      <c r="G15" s="20" t="n">
        <v>-0.09101</v>
      </c>
      <c r="H15" s="18" t="n">
        <f aca="false">F15/C15/(D15)^2</f>
        <v>1.25588697017268</v>
      </c>
      <c r="I15" s="4" t="n">
        <f aca="false">G15/C15/(D15)^2</f>
        <v>-0.507992325135182</v>
      </c>
      <c r="J15" s="2" t="n">
        <v>120</v>
      </c>
      <c r="K15" s="20" t="n">
        <v>0.1395</v>
      </c>
      <c r="L15" s="20" t="n">
        <v>-0.1286</v>
      </c>
      <c r="M15" s="18" t="n">
        <f aca="false">K15/C15/(D15)^2</f>
        <v>0.778649921507064</v>
      </c>
      <c r="N15" s="3" t="n">
        <f aca="false">L15/C15/(D15)^2</f>
        <v>-0.717809174952032</v>
      </c>
      <c r="O15" s="2" t="n">
        <v>90</v>
      </c>
      <c r="P15" s="20" t="n">
        <v>0.1113</v>
      </c>
      <c r="Q15" s="20" t="n">
        <v>-0.2021</v>
      </c>
      <c r="R15" s="18" t="n">
        <f aca="false">P15/C15/(D15)^2</f>
        <v>0.621245421245421</v>
      </c>
      <c r="S15" s="3" t="n">
        <f aca="false">Q15/C15/(D15)^2</f>
        <v>-1.12806558520844</v>
      </c>
      <c r="T15" s="2" t="n">
        <v>60</v>
      </c>
      <c r="U15" s="20" t="n">
        <v>0.1137</v>
      </c>
      <c r="V15" s="20" t="n">
        <v>-0.08594</v>
      </c>
      <c r="W15" s="18" t="n">
        <f aca="false">U15/C15/(D15)^2</f>
        <v>0.634641548927263</v>
      </c>
      <c r="X15" s="3" t="n">
        <f aca="false">V15/C15/(D15)^2</f>
        <v>-0.479693005407291</v>
      </c>
      <c r="Y15" s="2" t="n">
        <v>30</v>
      </c>
      <c r="Z15" s="20" t="n">
        <v>0.07478</v>
      </c>
      <c r="AA15" s="20" t="n">
        <v>-0.05503</v>
      </c>
      <c r="AB15" s="18" t="n">
        <f aca="false">Z15/C15/(D15)^2</f>
        <v>0.417401011686726</v>
      </c>
      <c r="AC15" s="3" t="n">
        <f aca="false">AA15/C15/(D15)^2</f>
        <v>-0.307162044304901</v>
      </c>
    </row>
    <row r="16" customFormat="false" ht="12.8" hidden="false" customHeight="false" outlineLevel="0" collapsed="false">
      <c r="A16" s="1" t="s">
        <v>30</v>
      </c>
      <c r="D16" s="3" t="n">
        <v>7.5</v>
      </c>
      <c r="E16" s="4" t="n">
        <v>150</v>
      </c>
      <c r="F16" s="21" t="n">
        <f aca="false">SUM(F3:F15)</f>
        <v>9.92043</v>
      </c>
      <c r="G16" s="21" t="n">
        <f aca="false">SUM(G3:G15)</f>
        <v>-0.99678</v>
      </c>
      <c r="H16" s="0" t="n">
        <f aca="false">F16/((D16)^2)</f>
        <v>0.1763632</v>
      </c>
      <c r="I16" s="0" t="n">
        <f aca="false">G16/((D16)^2)</f>
        <v>-0.0177205333333333</v>
      </c>
      <c r="J16" s="2" t="n">
        <v>120</v>
      </c>
      <c r="K16" s="21" t="n">
        <f aca="false">SUM(K3:K15)</f>
        <v>13.0472</v>
      </c>
      <c r="L16" s="21" t="n">
        <f aca="false">SUM(L3:L15)</f>
        <v>-3.52627</v>
      </c>
      <c r="M16" s="0" t="n">
        <f aca="false">K16/((D16)^2)</f>
        <v>0.231950222222222</v>
      </c>
      <c r="N16" s="0" t="n">
        <f aca="false">L16/((D16)^2)</f>
        <v>-0.0626892444444444</v>
      </c>
      <c r="O16" s="2" t="n">
        <v>90</v>
      </c>
      <c r="P16" s="21" t="n">
        <f aca="false">SUM(P3:P15)</f>
        <v>13.5753</v>
      </c>
      <c r="Q16" s="21" t="n">
        <f aca="false">SUM(Q3:Q15)</f>
        <v>0.7094728</v>
      </c>
      <c r="R16" s="0" t="n">
        <f aca="false">P16/((D16)^2)</f>
        <v>0.241338666666667</v>
      </c>
      <c r="S16" s="0" t="n">
        <f aca="false">Q16/((D16)^2)</f>
        <v>0.0126128497777778</v>
      </c>
      <c r="T16" s="2" t="n">
        <v>60</v>
      </c>
      <c r="U16" s="22" t="n">
        <f aca="false">SUM(U3:U15)</f>
        <v>12.4073</v>
      </c>
      <c r="V16" s="22" t="n">
        <f aca="false">SUM(V3:V15)</f>
        <v>2.24787</v>
      </c>
      <c r="W16" s="0" t="n">
        <f aca="false">U16/((D16)^2)</f>
        <v>0.220574222222222</v>
      </c>
      <c r="X16" s="0" t="n">
        <f aca="false">V16/((D16)^2)</f>
        <v>0.0399621333333333</v>
      </c>
      <c r="Y16" s="1" t="n">
        <v>30</v>
      </c>
      <c r="Z16" s="22" t="n">
        <f aca="false">SUM(Z3:Z15)</f>
        <v>9.77012</v>
      </c>
      <c r="AA16" s="22" t="n">
        <f aca="false">SUM(AA3:AA15)</f>
        <v>2.08716</v>
      </c>
      <c r="AB16" s="0" t="n">
        <f aca="false">Z16/((D16)^2)</f>
        <v>0.173691022222222</v>
      </c>
      <c r="AC16" s="0" t="n">
        <f aca="false">AA16/((D16)^2)</f>
        <v>0.0371050666666667</v>
      </c>
    </row>
    <row r="17" customFormat="false" ht="12.8" hidden="false" customHeight="false" outlineLevel="0" collapsed="false">
      <c r="G17" s="4"/>
      <c r="I17" s="0"/>
      <c r="M17" s="0"/>
      <c r="N17" s="0"/>
      <c r="R17" s="0"/>
      <c r="S17" s="0"/>
      <c r="U17" s="4"/>
      <c r="V17" s="4"/>
      <c r="X17" s="0"/>
      <c r="Z17" s="4"/>
      <c r="AA17" s="4"/>
      <c r="AC17" s="0"/>
    </row>
    <row r="20" customFormat="false" ht="12.8" hidden="false" customHeight="false" outlineLevel="0" collapsed="false">
      <c r="N20" s="23"/>
    </row>
    <row r="21" customFormat="false" ht="12.8" hidden="false" customHeight="false" outlineLevel="0" collapsed="false">
      <c r="F21" s="0"/>
      <c r="L21" s="23"/>
      <c r="N21" s="23"/>
      <c r="Z21" s="23"/>
    </row>
    <row r="22" customFormat="false" ht="12.8" hidden="false" customHeight="false" outlineLevel="0" collapsed="false">
      <c r="F22" s="0"/>
      <c r="L22" s="23"/>
      <c r="N22" s="23"/>
      <c r="P22" s="23"/>
      <c r="Y22" s="23"/>
      <c r="Z22" s="23"/>
    </row>
    <row r="23" customFormat="false" ht="12.8" hidden="false" customHeight="false" outlineLevel="0" collapsed="false">
      <c r="F23" s="0"/>
      <c r="L23" s="23"/>
      <c r="N23" s="23"/>
      <c r="P23" s="23"/>
      <c r="V23" s="23"/>
      <c r="Y23" s="23"/>
      <c r="Z23" s="23"/>
    </row>
    <row r="24" customFormat="false" ht="12.8" hidden="false" customHeight="false" outlineLevel="0" collapsed="false">
      <c r="F24" s="0"/>
      <c r="L24" s="23"/>
      <c r="N24" s="23"/>
      <c r="P24" s="23"/>
      <c r="V24" s="23"/>
      <c r="Y24" s="23"/>
      <c r="Z24" s="23"/>
    </row>
    <row r="25" customFormat="false" ht="12.8" hidden="false" customHeight="false" outlineLevel="0" collapsed="false">
      <c r="F25" s="0"/>
      <c r="L25" s="23"/>
      <c r="N25" s="23"/>
      <c r="P25" s="23"/>
      <c r="V25" s="23"/>
      <c r="Y25" s="23"/>
      <c r="Z25" s="23"/>
    </row>
    <row r="26" customFormat="false" ht="12.8" hidden="false" customHeight="false" outlineLevel="0" collapsed="false">
      <c r="F26" s="0"/>
      <c r="L26" s="23"/>
      <c r="N26" s="23"/>
      <c r="P26" s="23"/>
      <c r="V26" s="23"/>
      <c r="Y26" s="23"/>
      <c r="Z26" s="23"/>
    </row>
    <row r="27" customFormat="false" ht="12.8" hidden="false" customHeight="false" outlineLevel="0" collapsed="false">
      <c r="F27" s="0"/>
      <c r="L27" s="23"/>
      <c r="N27" s="23"/>
      <c r="P27" s="23"/>
      <c r="V27" s="23"/>
      <c r="Y27" s="23"/>
      <c r="Z27" s="23"/>
    </row>
    <row r="28" customFormat="false" ht="12.8" hidden="false" customHeight="false" outlineLevel="0" collapsed="false">
      <c r="F28" s="0"/>
      <c r="L28" s="23"/>
      <c r="N28" s="23"/>
      <c r="P28" s="23"/>
      <c r="V28" s="23"/>
      <c r="Y28" s="23"/>
      <c r="Z28" s="23"/>
    </row>
    <row r="29" customFormat="false" ht="12.8" hidden="false" customHeight="false" outlineLevel="0" collapsed="false">
      <c r="F29" s="0"/>
      <c r="L29" s="23"/>
      <c r="N29" s="23"/>
      <c r="P29" s="23"/>
      <c r="V29" s="23"/>
      <c r="Y29" s="23"/>
      <c r="Z29" s="23"/>
    </row>
    <row r="30" customFormat="false" ht="12.8" hidden="false" customHeight="false" outlineLevel="0" collapsed="false">
      <c r="F30" s="0"/>
      <c r="L30" s="23"/>
      <c r="N30" s="23"/>
      <c r="P30" s="23"/>
      <c r="V30" s="23"/>
      <c r="Y30" s="23"/>
      <c r="Z30" s="23"/>
    </row>
    <row r="31" customFormat="false" ht="12.8" hidden="false" customHeight="false" outlineLevel="0" collapsed="false">
      <c r="F31" s="0"/>
      <c r="L31" s="23"/>
      <c r="N31" s="23"/>
      <c r="P31" s="23"/>
      <c r="V31" s="23"/>
      <c r="Y31" s="23"/>
      <c r="Z31" s="23"/>
    </row>
    <row r="32" customFormat="false" ht="12.8" hidden="false" customHeight="false" outlineLevel="0" collapsed="false">
      <c r="F32" s="0"/>
      <c r="L32" s="23"/>
      <c r="N32" s="23"/>
      <c r="P32" s="23"/>
      <c r="V32" s="23"/>
      <c r="Y32" s="23"/>
      <c r="Z32" s="23"/>
    </row>
    <row r="33" customFormat="false" ht="12.8" hidden="false" customHeight="false" outlineLevel="0" collapsed="false">
      <c r="F33" s="0"/>
      <c r="L33" s="23"/>
      <c r="P33" s="23"/>
      <c r="V33" s="23"/>
      <c r="Y33" s="23"/>
      <c r="Z33" s="23"/>
    </row>
    <row r="34" customFormat="false" ht="12.8" hidden="false" customHeight="false" outlineLevel="0" collapsed="false">
      <c r="F34" s="0"/>
      <c r="P34" s="23"/>
      <c r="V34" s="23"/>
      <c r="Y34" s="23"/>
    </row>
    <row r="35" customFormat="false" ht="12.8" hidden="false" customHeight="false" outlineLevel="0" collapsed="false">
      <c r="V35" s="23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23" activeCellId="0" sqref="AC23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1.5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11.57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31</v>
      </c>
      <c r="B1" s="6" t="s">
        <v>1</v>
      </c>
      <c r="C1" s="7"/>
      <c r="D1" s="8" t="s">
        <v>2</v>
      </c>
      <c r="E1" s="9" t="s">
        <v>32</v>
      </c>
      <c r="F1" s="9"/>
      <c r="G1" s="9"/>
      <c r="H1" s="9"/>
      <c r="I1" s="9"/>
      <c r="J1" s="10" t="s">
        <v>33</v>
      </c>
      <c r="K1" s="10"/>
      <c r="L1" s="10"/>
      <c r="M1" s="10"/>
      <c r="N1" s="10"/>
      <c r="O1" s="10" t="s">
        <v>5</v>
      </c>
      <c r="P1" s="10"/>
      <c r="Q1" s="10"/>
      <c r="R1" s="10"/>
      <c r="S1" s="10"/>
      <c r="T1" s="10" t="s">
        <v>34</v>
      </c>
      <c r="U1" s="10"/>
      <c r="V1" s="10"/>
      <c r="W1" s="10"/>
      <c r="X1" s="10"/>
      <c r="Y1" s="10" t="s">
        <v>35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5" t="s">
        <v>12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12</v>
      </c>
      <c r="K2" s="16" t="s">
        <v>13</v>
      </c>
      <c r="L2" s="17" t="s">
        <v>14</v>
      </c>
      <c r="M2" s="18" t="s">
        <v>15</v>
      </c>
      <c r="N2" s="4" t="s">
        <v>16</v>
      </c>
      <c r="O2" s="19" t="s">
        <v>12</v>
      </c>
      <c r="P2" s="16" t="s">
        <v>13</v>
      </c>
      <c r="Q2" s="17" t="s">
        <v>14</v>
      </c>
      <c r="R2" s="18" t="s">
        <v>15</v>
      </c>
      <c r="S2" s="4" t="s">
        <v>16</v>
      </c>
      <c r="T2" s="19" t="s">
        <v>12</v>
      </c>
      <c r="U2" s="16" t="s">
        <v>13</v>
      </c>
      <c r="V2" s="17" t="s">
        <v>14</v>
      </c>
      <c r="W2" s="18" t="s">
        <v>15</v>
      </c>
      <c r="X2" s="4" t="s">
        <v>16</v>
      </c>
      <c r="Y2" s="19" t="s">
        <v>12</v>
      </c>
      <c r="Z2" s="16" t="s">
        <v>13</v>
      </c>
      <c r="AA2" s="17" t="s">
        <v>14</v>
      </c>
      <c r="AB2" s="18" t="s">
        <v>15</v>
      </c>
      <c r="AC2" s="4" t="s">
        <v>16</v>
      </c>
    </row>
    <row r="3" customFormat="false" ht="12.8" hidden="false" customHeight="false" outlineLevel="0" collapsed="false">
      <c r="A3" s="1" t="s">
        <v>17</v>
      </c>
      <c r="B3" s="2" t="n">
        <v>0.0429</v>
      </c>
      <c r="C3" s="18" t="n">
        <f aca="false">B3*1.225/2</f>
        <v>0.02627625</v>
      </c>
      <c r="D3" s="3" t="n">
        <v>7.5</v>
      </c>
      <c r="E3" s="4" t="n">
        <v>180</v>
      </c>
      <c r="F3" s="20" t="n">
        <v>0.3271</v>
      </c>
      <c r="G3" s="20" t="n">
        <v>0.01031</v>
      </c>
      <c r="H3" s="18" t="n">
        <f aca="false">F3/C3/(D3)^2</f>
        <v>0.22130673559245</v>
      </c>
      <c r="I3" s="4" t="n">
        <f aca="false">G3/C3/(D3)^2</f>
        <v>0.00697545840402983</v>
      </c>
      <c r="J3" s="2" t="n">
        <v>160</v>
      </c>
      <c r="K3" s="20" t="n">
        <v>0.2427</v>
      </c>
      <c r="L3" s="20" t="n">
        <v>0.1966</v>
      </c>
      <c r="M3" s="18" t="n">
        <f aca="false">K3/C3/(D3)^2</f>
        <v>0.164204049918336</v>
      </c>
      <c r="N3" s="3" t="n">
        <f aca="false">L3/C3/(D3)^2</f>
        <v>0.133014075871219</v>
      </c>
      <c r="O3" s="2" t="n">
        <v>90</v>
      </c>
      <c r="P3" s="20" t="n">
        <v>0.6961</v>
      </c>
      <c r="Q3" s="20" t="n">
        <v>0.6919</v>
      </c>
      <c r="R3" s="18" t="n">
        <f aca="false">P3/C3/(D3)^2</f>
        <v>0.470961842390414</v>
      </c>
      <c r="S3" s="3" t="n">
        <f aca="false">Q3/C3/(D3)^2</f>
        <v>0.468120239548811</v>
      </c>
      <c r="T3" s="2" t="n">
        <v>45</v>
      </c>
      <c r="U3" s="20" t="n">
        <v>1.248</v>
      </c>
      <c r="V3" s="20" t="n">
        <v>0.5883</v>
      </c>
      <c r="W3" s="18" t="n">
        <f aca="false">U3/C3/(D3)^2</f>
        <v>0.84436198721913</v>
      </c>
      <c r="X3" s="3" t="n">
        <f aca="false">V3/C3/(D3)^2</f>
        <v>0.398027369455941</v>
      </c>
      <c r="Y3" s="2" t="n">
        <v>15</v>
      </c>
      <c r="Z3" s="20" t="n">
        <v>1.246</v>
      </c>
      <c r="AA3" s="20" t="n">
        <v>0.3577</v>
      </c>
      <c r="AB3" s="18" t="n">
        <f aca="false">Z3/C3/(D3)^2</f>
        <v>0.843008843008843</v>
      </c>
      <c r="AC3" s="3" t="n">
        <f aca="false">AA3/C3/(D3)^2</f>
        <v>0.242009842009842</v>
      </c>
    </row>
    <row r="4" customFormat="false" ht="12.8" hidden="false" customHeight="false" outlineLevel="0" collapsed="false">
      <c r="A4" s="1" t="s">
        <v>18</v>
      </c>
      <c r="B4" s="2" t="n">
        <v>0.153</v>
      </c>
      <c r="C4" s="18" t="n">
        <f aca="false">B4*1.225/2</f>
        <v>0.0937125</v>
      </c>
      <c r="D4" s="3" t="n">
        <v>7.5</v>
      </c>
      <c r="E4" s="4" t="n">
        <v>180</v>
      </c>
      <c r="F4" s="20" t="n">
        <v>2.75</v>
      </c>
      <c r="G4" s="20" t="n">
        <v>-0.129</v>
      </c>
      <c r="H4" s="18" t="n">
        <f aca="false">F4/C4/(D4)^2</f>
        <v>0.521690157544499</v>
      </c>
      <c r="I4" s="4" t="n">
        <f aca="false">G4/C4/(D4)^2</f>
        <v>-0.0244720110266329</v>
      </c>
      <c r="J4" s="2" t="n">
        <v>160</v>
      </c>
      <c r="K4" s="20" t="n">
        <v>3.116</v>
      </c>
      <c r="L4" s="20" t="n">
        <v>1.04</v>
      </c>
      <c r="M4" s="18" t="n">
        <f aca="false">K4/C4/(D4)^2</f>
        <v>0.591122374875876</v>
      </c>
      <c r="N4" s="3" t="n">
        <f aca="false">L4/C4/(D4)^2</f>
        <v>0.197293732307738</v>
      </c>
      <c r="O4" s="2" t="n">
        <v>90</v>
      </c>
      <c r="P4" s="20" t="n">
        <v>3.502</v>
      </c>
      <c r="Q4" s="20" t="n">
        <v>0.5462</v>
      </c>
      <c r="R4" s="18" t="n">
        <f aca="false">P4/C4/(D4)^2</f>
        <v>0.66434870244394</v>
      </c>
      <c r="S4" s="3" t="n">
        <f aca="false">Q4/C4/(D4)^2</f>
        <v>0.103617150563929</v>
      </c>
      <c r="T4" s="2" t="n">
        <v>45</v>
      </c>
      <c r="U4" s="20" t="n">
        <v>3.524</v>
      </c>
      <c r="V4" s="20" t="n">
        <v>-0.3564</v>
      </c>
      <c r="W4" s="18" t="n">
        <f aca="false">U4/C4/(D4)^2</f>
        <v>0.668522223704296</v>
      </c>
      <c r="X4" s="3" t="n">
        <f aca="false">V4/C4/(D4)^2</f>
        <v>-0.0676110444177671</v>
      </c>
      <c r="Y4" s="2" t="n">
        <v>15</v>
      </c>
      <c r="Z4" s="20" t="n">
        <v>3.784</v>
      </c>
      <c r="AA4" s="20" t="n">
        <v>-1.54</v>
      </c>
      <c r="AB4" s="18" t="n">
        <f aca="false">Z4/C4/(D4)^2</f>
        <v>0.717845656781231</v>
      </c>
      <c r="AC4" s="3" t="n">
        <f aca="false">AA4/C4/(D4)^2</f>
        <v>-0.29214648822492</v>
      </c>
    </row>
    <row r="5" customFormat="false" ht="12.8" hidden="false" customHeight="false" outlineLevel="0" collapsed="false">
      <c r="A5" s="1" t="s">
        <v>19</v>
      </c>
      <c r="B5" s="2" t="n">
        <v>0.0484</v>
      </c>
      <c r="C5" s="18" t="n">
        <f aca="false">B5*1.225/2</f>
        <v>0.029645</v>
      </c>
      <c r="D5" s="3" t="n">
        <v>7.5</v>
      </c>
      <c r="E5" s="4" t="n">
        <v>180</v>
      </c>
      <c r="F5" s="20" t="n">
        <v>0.8447</v>
      </c>
      <c r="G5" s="20" t="n">
        <v>-0.08124</v>
      </c>
      <c r="H5" s="18" t="n">
        <f aca="false">F5/C5/(D5)^2</f>
        <v>0.50655722344034</v>
      </c>
      <c r="I5" s="4" t="n">
        <f aca="false">G5/C5/(D5)^2</f>
        <v>-0.0487187271602856</v>
      </c>
      <c r="J5" s="2" t="n">
        <v>160</v>
      </c>
      <c r="K5" s="20" t="n">
        <v>0.8321</v>
      </c>
      <c r="L5" s="20" t="n">
        <v>-0.5021</v>
      </c>
      <c r="M5" s="18" t="n">
        <f aca="false">K5/C5/(D5)^2</f>
        <v>0.499001143156987</v>
      </c>
      <c r="N5" s="3" t="n">
        <f aca="false">L5/C5/(D5)^2</f>
        <v>-0.301103802402504</v>
      </c>
      <c r="O5" s="2" t="n">
        <v>90</v>
      </c>
      <c r="P5" s="20" t="n">
        <v>0.7072</v>
      </c>
      <c r="Q5" s="20" t="n">
        <v>-0.3233</v>
      </c>
      <c r="R5" s="18" t="n">
        <f aca="false">P5/C5/(D5)^2</f>
        <v>0.424099998125972</v>
      </c>
      <c r="S5" s="3" t="n">
        <f aca="false">Q5/C5/(D5)^2</f>
        <v>-0.193879425048256</v>
      </c>
      <c r="T5" s="2" t="n">
        <v>45</v>
      </c>
      <c r="U5" s="20" t="n">
        <v>0.2656</v>
      </c>
      <c r="V5" s="20" t="n">
        <v>-0.1864</v>
      </c>
      <c r="W5" s="18" t="n">
        <f aca="false">U5/C5/(D5)^2</f>
        <v>0.15927737486179</v>
      </c>
      <c r="X5" s="3" t="n">
        <f aca="false">V5/C5/(D5)^2</f>
        <v>-0.111782013080714</v>
      </c>
      <c r="Y5" s="2" t="n">
        <v>15</v>
      </c>
      <c r="Z5" s="20" t="n">
        <v>0.3098</v>
      </c>
      <c r="AA5" s="20" t="n">
        <v>-0.1158</v>
      </c>
      <c r="AB5" s="18" t="n">
        <f aca="false">Z5/C5/(D5)^2</f>
        <v>0.185783624744664</v>
      </c>
      <c r="AC5" s="3" t="n">
        <f aca="false">AA5/C5/(D5)^2</f>
        <v>-0.0694439759374824</v>
      </c>
    </row>
    <row r="6" customFormat="false" ht="12.8" hidden="false" customHeight="false" outlineLevel="0" collapsed="false">
      <c r="A6" s="1" t="s">
        <v>20</v>
      </c>
      <c r="B6" s="2" t="n">
        <v>0.0136</v>
      </c>
      <c r="C6" s="18" t="n">
        <f aca="false">B6*1.225/2</f>
        <v>0.00833</v>
      </c>
      <c r="D6" s="3" t="n">
        <v>7.5</v>
      </c>
      <c r="E6" s="4" t="n">
        <v>158</v>
      </c>
      <c r="F6" s="20" t="n">
        <v>-0.0689</v>
      </c>
      <c r="G6" s="20" t="n">
        <v>-0.05734</v>
      </c>
      <c r="H6" s="18" t="n">
        <f aca="false">F6/C6/(D6)^2</f>
        <v>-0.147045484860611</v>
      </c>
      <c r="I6" s="4" t="n">
        <f aca="false">G6/C6/(D6)^2</f>
        <v>-0.122374283046552</v>
      </c>
      <c r="J6" s="2" t="n">
        <v>138</v>
      </c>
      <c r="K6" s="20" t="n">
        <v>-0.05132</v>
      </c>
      <c r="L6" s="20" t="n">
        <v>-0.02316</v>
      </c>
      <c r="M6" s="18" t="n">
        <f aca="false">K6/C6/(D6)^2</f>
        <v>-0.10952647725757</v>
      </c>
      <c r="N6" s="3" t="n">
        <f aca="false">L6/C6/(D6)^2</f>
        <v>-0.0494277711084434</v>
      </c>
      <c r="O6" s="2" t="n">
        <v>68</v>
      </c>
      <c r="P6" s="20" t="n">
        <v>0.009802</v>
      </c>
      <c r="Q6" s="20" t="n">
        <v>-0.03884</v>
      </c>
      <c r="R6" s="18" t="n">
        <f aca="false">P6/C6/(D6)^2</f>
        <v>0.0209193010537548</v>
      </c>
      <c r="S6" s="3" t="n">
        <f aca="false">Q6/C6/(D6)^2</f>
        <v>-0.0828918233960251</v>
      </c>
      <c r="T6" s="2" t="n">
        <v>24</v>
      </c>
      <c r="U6" s="20" t="n">
        <v>0.004649</v>
      </c>
      <c r="V6" s="20" t="n">
        <v>-0.01308</v>
      </c>
      <c r="W6" s="18" t="n">
        <f aca="false">U6/C6/(D6)^2</f>
        <v>0.009921835400827</v>
      </c>
      <c r="X6" s="3" t="n">
        <f aca="false">V6/C6/(D6)^2</f>
        <v>-0.0279151660664266</v>
      </c>
      <c r="Y6" s="2" t="n">
        <v>9</v>
      </c>
      <c r="Z6" s="20" t="n">
        <v>0.09105</v>
      </c>
      <c r="AA6" s="20" t="n">
        <v>0.06892</v>
      </c>
      <c r="AB6" s="18" t="n">
        <f aca="false">Z6/C6/(D6)^2</f>
        <v>0.194317727090836</v>
      </c>
      <c r="AC6" s="3" t="n">
        <f aca="false">AA6/C6/(D6)^2</f>
        <v>0.147088168600774</v>
      </c>
    </row>
    <row r="7" customFormat="false" ht="12.8" hidden="false" customHeight="false" outlineLevel="0" collapsed="false">
      <c r="A7" s="1" t="s">
        <v>21</v>
      </c>
      <c r="B7" s="2" t="n">
        <v>0.0136</v>
      </c>
      <c r="C7" s="18" t="n">
        <f aca="false">B7*1.225/2</f>
        <v>0.00833</v>
      </c>
      <c r="D7" s="3" t="n">
        <v>7.5</v>
      </c>
      <c r="E7" s="4" t="n">
        <v>158</v>
      </c>
      <c r="F7" s="20" t="n">
        <v>-0.05433</v>
      </c>
      <c r="G7" s="20" t="n">
        <v>0.07546</v>
      </c>
      <c r="H7" s="18" t="n">
        <f aca="false">F7/C7/(D7)^2</f>
        <v>-0.115950380152061</v>
      </c>
      <c r="I7" s="4" t="n">
        <f aca="false">G7/C7/(D7)^2</f>
        <v>0.161045751633987</v>
      </c>
      <c r="J7" s="2" t="n">
        <v>174</v>
      </c>
      <c r="K7" s="20" t="n">
        <v>-0.0314</v>
      </c>
      <c r="L7" s="20" t="n">
        <v>0.03291</v>
      </c>
      <c r="M7" s="18" t="n">
        <f aca="false">K7/C7/(D7)^2</f>
        <v>-0.0670134720554889</v>
      </c>
      <c r="N7" s="3" t="n">
        <f aca="false">L7/C7/(D7)^2</f>
        <v>0.0702360944377751</v>
      </c>
      <c r="O7" s="2" t="n">
        <v>112</v>
      </c>
      <c r="P7" s="20" t="n">
        <v>0.0957</v>
      </c>
      <c r="Q7" s="20" t="n">
        <v>-0.0295</v>
      </c>
      <c r="R7" s="18" t="n">
        <f aca="false">P7/C7/(D7)^2</f>
        <v>0.204241696678671</v>
      </c>
      <c r="S7" s="3" t="n">
        <f aca="false">Q7/C7/(D7)^2</f>
        <v>-0.0629585167400294</v>
      </c>
      <c r="T7" s="2" t="n">
        <v>67</v>
      </c>
      <c r="U7" s="20" t="n">
        <v>0.3284</v>
      </c>
      <c r="V7" s="20" t="n">
        <v>-0.1676</v>
      </c>
      <c r="W7" s="18" t="n">
        <f aca="false">U7/C7/(D7)^2</f>
        <v>0.700867013472055</v>
      </c>
      <c r="X7" s="3" t="n">
        <f aca="false">V7/C7/(D7)^2</f>
        <v>-0.357689742563692</v>
      </c>
      <c r="Y7" s="2" t="n">
        <v>37</v>
      </c>
      <c r="Z7" s="20" t="n">
        <v>0.4291</v>
      </c>
      <c r="AA7" s="20" t="n">
        <v>-0.02162</v>
      </c>
      <c r="AB7" s="18" t="n">
        <f aca="false">Z7/C7/(D7)^2</f>
        <v>0.91577964519141</v>
      </c>
      <c r="AC7" s="3" t="n">
        <f aca="false">AA7/C7/(D7)^2</f>
        <v>-0.046141123115913</v>
      </c>
    </row>
    <row r="8" customFormat="false" ht="12.8" hidden="false" customHeight="false" outlineLevel="0" collapsed="false">
      <c r="A8" s="1" t="s">
        <v>22</v>
      </c>
      <c r="B8" s="2" t="n">
        <v>0.0433</v>
      </c>
      <c r="C8" s="18" t="n">
        <f aca="false">B8*1.225/2</f>
        <v>0.02652125</v>
      </c>
      <c r="D8" s="3" t="n">
        <v>7.5</v>
      </c>
      <c r="E8" s="4" t="n">
        <v>159</v>
      </c>
      <c r="F8" s="20" t="n">
        <v>1.467</v>
      </c>
      <c r="G8" s="20" t="n">
        <v>-0.08789</v>
      </c>
      <c r="H8" s="18" t="n">
        <f aca="false">F8/C8/(D8)^2</f>
        <v>0.983362398077013</v>
      </c>
      <c r="I8" s="4" t="n">
        <f aca="false">G8/C8/(D8)^2</f>
        <v>-0.0589146020224872</v>
      </c>
      <c r="J8" s="2" t="n">
        <v>144</v>
      </c>
      <c r="K8" s="20" t="n">
        <v>1.058</v>
      </c>
      <c r="L8" s="20" t="n">
        <v>-0.05032</v>
      </c>
      <c r="M8" s="18" t="n">
        <f aca="false">K8/C8/(D8)^2</f>
        <v>0.709200693364336</v>
      </c>
      <c r="N8" s="3" t="n">
        <f aca="false">L8/C8/(D8)^2</f>
        <v>-0.0337306038658727</v>
      </c>
      <c r="O8" s="2" t="n">
        <v>79</v>
      </c>
      <c r="P8" s="20" t="n">
        <v>-0.08488</v>
      </c>
      <c r="Q8" s="20" t="n">
        <v>0.07395</v>
      </c>
      <c r="R8" s="18" t="n">
        <f aca="false">P8/C8/(D8)^2</f>
        <v>-0.0568969327530858</v>
      </c>
      <c r="S8" s="3" t="n">
        <f aca="false">Q8/C8/(D8)^2</f>
        <v>0.0495703131136981</v>
      </c>
      <c r="T8" s="2" t="n">
        <v>37</v>
      </c>
      <c r="U8" s="20" t="n">
        <v>-0.064</v>
      </c>
      <c r="V8" s="20" t="n">
        <v>-0.01737</v>
      </c>
      <c r="W8" s="18" t="n">
        <f aca="false">U8/C8/(D8)^2</f>
        <v>-0.0429006090503946</v>
      </c>
      <c r="X8" s="3" t="n">
        <f aca="false">V8/C8/(D8)^2</f>
        <v>-0.0116434934250837</v>
      </c>
      <c r="Y8" s="2" t="n">
        <v>18</v>
      </c>
      <c r="Z8" s="20" t="n">
        <v>-0.02339</v>
      </c>
      <c r="AA8" s="20" t="n">
        <v>-0.1033</v>
      </c>
      <c r="AB8" s="18" t="n">
        <f aca="false">Z8/C8/(D8)^2</f>
        <v>-0.0156788319638864</v>
      </c>
      <c r="AC8" s="3" t="n">
        <f aca="false">AA8/C8/(D8)^2</f>
        <v>-0.0692442642954025</v>
      </c>
    </row>
    <row r="9" customFormat="false" ht="12.8" hidden="false" customHeight="false" outlineLevel="0" collapsed="false">
      <c r="A9" s="1" t="s">
        <v>23</v>
      </c>
      <c r="B9" s="2" t="n">
        <v>0.0433</v>
      </c>
      <c r="C9" s="18" t="n">
        <f aca="false">B9*1.225/2</f>
        <v>0.02652125</v>
      </c>
      <c r="D9" s="3" t="n">
        <v>7.5</v>
      </c>
      <c r="E9" s="4" t="n">
        <v>159</v>
      </c>
      <c r="F9" s="20" t="n">
        <v>1.47</v>
      </c>
      <c r="G9" s="20" t="n">
        <v>0.1218</v>
      </c>
      <c r="H9" s="18" t="n">
        <f aca="false">F9/C9/(D9)^2</f>
        <v>0.985373364126251</v>
      </c>
      <c r="I9" s="4" t="n">
        <f aca="false">G9/C9/(D9)^2</f>
        <v>0.0816452215990322</v>
      </c>
      <c r="J9" s="2" t="n">
        <v>161</v>
      </c>
      <c r="K9" s="20" t="n">
        <v>1.325</v>
      </c>
      <c r="L9" s="20" t="n">
        <v>0.2414</v>
      </c>
      <c r="M9" s="18" t="n">
        <f aca="false">K9/C9/(D9)^2</f>
        <v>0.88817667174645</v>
      </c>
      <c r="N9" s="3" t="n">
        <f aca="false">L9/C9/(D9)^2</f>
        <v>0.161815734761957</v>
      </c>
      <c r="O9" s="2" t="n">
        <v>101</v>
      </c>
      <c r="P9" s="20" t="n">
        <v>0.6738</v>
      </c>
      <c r="Q9" s="20" t="n">
        <v>-0.1716</v>
      </c>
      <c r="R9" s="18" t="n">
        <f aca="false">P9/C9/(D9)^2</f>
        <v>0.451662974658686</v>
      </c>
      <c r="S9" s="3" t="n">
        <f aca="false">Q9/C9/(D9)^2</f>
        <v>-0.11502725801637</v>
      </c>
      <c r="T9" s="2" t="n">
        <v>59</v>
      </c>
      <c r="U9" s="20" t="n">
        <v>1.181</v>
      </c>
      <c r="V9" s="20" t="n">
        <v>0.03967</v>
      </c>
      <c r="W9" s="18" t="n">
        <f aca="false">U9/C9/(D9)^2</f>
        <v>0.791650301383063</v>
      </c>
      <c r="X9" s="3" t="n">
        <f aca="false">V9/C9/(D9)^2</f>
        <v>0.0265916743910805</v>
      </c>
      <c r="Y9" s="2" t="n">
        <v>32</v>
      </c>
      <c r="Z9" s="20" t="n">
        <v>1.033</v>
      </c>
      <c r="AA9" s="20" t="n">
        <v>0.294</v>
      </c>
      <c r="AB9" s="18" t="n">
        <f aca="false">Z9/C9/(D9)^2</f>
        <v>0.692442642954025</v>
      </c>
      <c r="AC9" s="3" t="n">
        <f aca="false">AA9/C9/(D9)^2</f>
        <v>0.19707467282525</v>
      </c>
    </row>
    <row r="10" customFormat="false" ht="12.8" hidden="false" customHeight="false" outlineLevel="0" collapsed="false">
      <c r="A10" s="1" t="s">
        <v>24</v>
      </c>
      <c r="B10" s="2" t="n">
        <v>0.0247</v>
      </c>
      <c r="C10" s="18" t="n">
        <f aca="false">B10*1.225/2</f>
        <v>0.01512875</v>
      </c>
      <c r="D10" s="3" t="n">
        <v>7.5</v>
      </c>
      <c r="E10" s="4" t="n">
        <v>180</v>
      </c>
      <c r="F10" s="20" t="n">
        <v>0.07001</v>
      </c>
      <c r="G10" s="20" t="n">
        <v>-0.3232</v>
      </c>
      <c r="H10" s="18" t="n">
        <f aca="false">F10/C10/(D10)^2</f>
        <v>0.0822686753513821</v>
      </c>
      <c r="I10" s="4" t="n">
        <f aca="false">G10/C10/(D10)^2</f>
        <v>-0.379791970769414</v>
      </c>
      <c r="J10" s="2" t="n">
        <v>160</v>
      </c>
      <c r="K10" s="20" t="n">
        <v>0.03327</v>
      </c>
      <c r="L10" s="20" t="n">
        <v>-0.1277</v>
      </c>
      <c r="M10" s="18" t="n">
        <f aca="false">K10/C10/(D10)^2</f>
        <v>0.0390955410504283</v>
      </c>
      <c r="N10" s="3" t="n">
        <f aca="false">L10/C10/(D10)^2</f>
        <v>-0.150060132015019</v>
      </c>
      <c r="O10" s="2" t="n">
        <v>90</v>
      </c>
      <c r="P10" s="20" t="n">
        <v>-0.05706</v>
      </c>
      <c r="Q10" s="20" t="n">
        <v>0.07491</v>
      </c>
      <c r="R10" s="18" t="n">
        <f aca="false">P10/C10/(D10)^2</f>
        <v>-0.0670511443443774</v>
      </c>
      <c r="S10" s="3" t="n">
        <f aca="false">Q10/C10/(D10)^2</f>
        <v>0.0880266600567352</v>
      </c>
      <c r="T10" s="2" t="n">
        <v>45</v>
      </c>
      <c r="U10" s="20" t="n">
        <v>-0.1264</v>
      </c>
      <c r="V10" s="20" t="n">
        <v>0.01177</v>
      </c>
      <c r="W10" s="18" t="n">
        <f aca="false">U10/C10/(D10)^2</f>
        <v>-0.148532503419721</v>
      </c>
      <c r="X10" s="3" t="n">
        <f aca="false">V10/C10/(D10)^2</f>
        <v>0.0138309142820421</v>
      </c>
      <c r="Y10" s="2" t="n">
        <v>15</v>
      </c>
      <c r="Z10" s="20" t="n">
        <v>-0.0976</v>
      </c>
      <c r="AA10" s="20" t="n">
        <v>0.01279</v>
      </c>
      <c r="AB10" s="18" t="n">
        <f aca="false">Z10/C10/(D10)^2</f>
        <v>-0.114689654539279</v>
      </c>
      <c r="AC10" s="3" t="n">
        <f aca="false">AA10/C10/(D10)^2</f>
        <v>0.0150295151798911</v>
      </c>
    </row>
    <row r="11" customFormat="false" ht="12.8" hidden="false" customHeight="false" outlineLevel="0" collapsed="false">
      <c r="A11" s="1" t="s">
        <v>25</v>
      </c>
      <c r="B11" s="2" t="n">
        <v>0.0247</v>
      </c>
      <c r="C11" s="18" t="n">
        <f aca="false">B11*1.225/2</f>
        <v>0.01512875</v>
      </c>
      <c r="D11" s="3" t="n">
        <v>7.5</v>
      </c>
      <c r="E11" s="4" t="n">
        <v>180</v>
      </c>
      <c r="F11" s="20" t="n">
        <v>0.006424</v>
      </c>
      <c r="G11" s="20" t="n">
        <v>0.2839</v>
      </c>
      <c r="H11" s="18" t="n">
        <f aca="false">F11/C11/(D11)^2</f>
        <v>0.00754883545860989</v>
      </c>
      <c r="I11" s="4" t="n">
        <f aca="false">G11/C11/(D11)^2</f>
        <v>0.333610583234643</v>
      </c>
      <c r="J11" s="2" t="n">
        <v>160</v>
      </c>
      <c r="K11" s="20" t="n">
        <v>-0.09211</v>
      </c>
      <c r="L11" s="20" t="n">
        <v>-0.07973</v>
      </c>
      <c r="M11" s="18" t="n">
        <f aca="false">K11/C11/(D11)^2</f>
        <v>-0.108238361471444</v>
      </c>
      <c r="N11" s="3" t="n">
        <f aca="false">L11/C11/(D11)^2</f>
        <v>-0.0936906368485316</v>
      </c>
      <c r="O11" s="2" t="n">
        <v>90</v>
      </c>
      <c r="P11" s="20" t="n">
        <v>0.4946</v>
      </c>
      <c r="Q11" s="20" t="n">
        <v>-0.08422</v>
      </c>
      <c r="R11" s="18" t="n">
        <f aca="false">P11/C11/(D11)^2</f>
        <v>0.581203925564828</v>
      </c>
      <c r="S11" s="3" t="n">
        <f aca="false">Q11/C11/(D11)^2</f>
        <v>-0.0989668309969062</v>
      </c>
      <c r="T11" s="2" t="n">
        <v>45</v>
      </c>
      <c r="U11" s="20" t="n">
        <v>0.2612</v>
      </c>
      <c r="V11" s="20" t="n">
        <v>0.08891</v>
      </c>
      <c r="W11" s="18" t="n">
        <f aca="false">U11/C11/(D11)^2</f>
        <v>0.306935837762905</v>
      </c>
      <c r="X11" s="3" t="n">
        <f aca="false">V11/C11/(D11)^2</f>
        <v>0.104478044929173</v>
      </c>
      <c r="Y11" s="2" t="n">
        <v>15</v>
      </c>
      <c r="Z11" s="20" t="n">
        <v>-0.08022</v>
      </c>
      <c r="AA11" s="20" t="n">
        <v>0.07082</v>
      </c>
      <c r="AB11" s="18" t="n">
        <f aca="false">Z11/C11/(D11)^2</f>
        <v>-0.0942664353190669</v>
      </c>
      <c r="AC11" s="3" t="n">
        <f aca="false">AA11/C11/(D11)^2</f>
        <v>0.0832205054761446</v>
      </c>
    </row>
    <row r="12" customFormat="false" ht="12.8" hidden="false" customHeight="false" outlineLevel="0" collapsed="false">
      <c r="A12" s="1" t="s">
        <v>26</v>
      </c>
      <c r="B12" s="2" t="n">
        <v>0.026</v>
      </c>
      <c r="C12" s="18" t="n">
        <f aca="false">B12*1.225/2</f>
        <v>0.015925</v>
      </c>
      <c r="D12" s="3" t="n">
        <v>7.5</v>
      </c>
      <c r="E12" s="4" t="n">
        <v>180</v>
      </c>
      <c r="F12" s="20" t="n">
        <v>-0.07398</v>
      </c>
      <c r="G12" s="20" t="n">
        <v>-0.06039</v>
      </c>
      <c r="H12" s="18" t="n">
        <f aca="false">F12/C12/(D12)^2</f>
        <v>-0.0825871271585557</v>
      </c>
      <c r="I12" s="4" t="n">
        <f aca="false">G12/C12/(D12)^2</f>
        <v>-0.0674160125588697</v>
      </c>
      <c r="J12" s="2" t="n">
        <v>160</v>
      </c>
      <c r="K12" s="20" t="n">
        <v>0.07792</v>
      </c>
      <c r="L12" s="20" t="n">
        <v>-0.04306</v>
      </c>
      <c r="M12" s="18" t="n">
        <f aca="false">K12/C12/(D12)^2</f>
        <v>0.0869855224140938</v>
      </c>
      <c r="N12" s="3" t="n">
        <f aca="false">L12/C12/(D12)^2</f>
        <v>-0.0480697714983429</v>
      </c>
      <c r="O12" s="2" t="n">
        <v>90</v>
      </c>
      <c r="P12" s="20" t="n">
        <v>0.2239</v>
      </c>
      <c r="Q12" s="20" t="n">
        <v>-0.01263</v>
      </c>
      <c r="R12" s="18" t="n">
        <f aca="false">P12/C12/(D12)^2</f>
        <v>0.249949415663701</v>
      </c>
      <c r="S12" s="3" t="n">
        <f aca="false">Q12/C12/(D12)^2</f>
        <v>-0.0140994243851387</v>
      </c>
      <c r="T12" s="2" t="n">
        <v>45</v>
      </c>
      <c r="U12" s="20" t="n">
        <v>0.1506</v>
      </c>
      <c r="V12" s="20" t="n">
        <v>0.04404</v>
      </c>
      <c r="W12" s="18" t="n">
        <f aca="false">U12/C12/(D12)^2</f>
        <v>0.168121402407117</v>
      </c>
      <c r="X12" s="3" t="n">
        <f aca="false">V12/C12/(D12)^2</f>
        <v>0.04916378859236</v>
      </c>
      <c r="Y12" s="2" t="n">
        <v>15</v>
      </c>
      <c r="Z12" s="20" t="n">
        <v>-0.001801</v>
      </c>
      <c r="AA12" s="20" t="n">
        <v>-0.06392</v>
      </c>
      <c r="AB12" s="18" t="n">
        <f aca="false">Z12/C12/(D12)^2</f>
        <v>-0.00201053549624978</v>
      </c>
      <c r="AC12" s="3" t="n">
        <f aca="false">AA12/C12/(D12)^2</f>
        <v>-0.0713567067852782</v>
      </c>
    </row>
    <row r="13" customFormat="false" ht="12.8" hidden="false" customHeight="false" outlineLevel="0" collapsed="false">
      <c r="A13" s="1" t="s">
        <v>27</v>
      </c>
      <c r="B13" s="2" t="n">
        <v>0.026</v>
      </c>
      <c r="C13" s="18" t="n">
        <f aca="false">B13*1.225/2</f>
        <v>0.015925</v>
      </c>
      <c r="D13" s="3" t="n">
        <v>7.5</v>
      </c>
      <c r="E13" s="4" t="n">
        <v>180</v>
      </c>
      <c r="F13" s="20" t="n">
        <v>-0.07365</v>
      </c>
      <c r="G13" s="20" t="n">
        <v>0.05132</v>
      </c>
      <c r="H13" s="18" t="n">
        <f aca="false">F13/C13/(D13)^2</f>
        <v>-0.0822187336473051</v>
      </c>
      <c r="I13" s="4" t="n">
        <f aca="false">G13/C13/(D13)^2</f>
        <v>0.0572907727193442</v>
      </c>
      <c r="J13" s="2" t="n">
        <v>160</v>
      </c>
      <c r="K13" s="20" t="n">
        <v>0.1004</v>
      </c>
      <c r="L13" s="20" t="n">
        <v>-0.07359</v>
      </c>
      <c r="M13" s="18" t="n">
        <f aca="false">K13/C13/(D13)^2</f>
        <v>0.112080934938078</v>
      </c>
      <c r="N13" s="3" t="n">
        <f aca="false">L13/C13/(D13)^2</f>
        <v>-0.0821517530088959</v>
      </c>
      <c r="O13" s="2" t="n">
        <v>90</v>
      </c>
      <c r="P13" s="20" t="n">
        <v>0.5992</v>
      </c>
      <c r="Q13" s="20" t="n">
        <v>-0.1609</v>
      </c>
      <c r="R13" s="18" t="n">
        <f aca="false">P13/C13/(D13)^2</f>
        <v>0.668913308913309</v>
      </c>
      <c r="S13" s="3" t="n">
        <f aca="false">Q13/C13/(D13)^2</f>
        <v>-0.179619745334031</v>
      </c>
      <c r="T13" s="2" t="n">
        <v>45</v>
      </c>
      <c r="U13" s="20" t="n">
        <v>0.2754</v>
      </c>
      <c r="V13" s="20" t="n">
        <v>0.1129</v>
      </c>
      <c r="W13" s="18" t="n">
        <f aca="false">U13/C13/(D13)^2</f>
        <v>0.307441130298273</v>
      </c>
      <c r="X13" s="3" t="n">
        <f aca="false">V13/C13/(D13)^2</f>
        <v>0.126035234606663</v>
      </c>
      <c r="Y13" s="2" t="n">
        <v>15</v>
      </c>
      <c r="Z13" s="20" t="n">
        <v>0.08557</v>
      </c>
      <c r="AA13" s="20" t="n">
        <v>0.08133</v>
      </c>
      <c r="AB13" s="18" t="n">
        <f aca="false">Z13/C13/(D13)^2</f>
        <v>0.0955255538112681</v>
      </c>
      <c r="AC13" s="3" t="n">
        <f aca="false">AA13/C13/(D13)^2</f>
        <v>0.0907922553636839</v>
      </c>
    </row>
    <row r="14" customFormat="false" ht="12.8" hidden="false" customHeight="false" outlineLevel="0" collapsed="false">
      <c r="A14" s="1" t="s">
        <v>28</v>
      </c>
      <c r="B14" s="2" t="n">
        <v>0.0052</v>
      </c>
      <c r="C14" s="18" t="n">
        <f aca="false">B14*1.225/2</f>
        <v>0.003185</v>
      </c>
      <c r="D14" s="3" t="n">
        <v>7.5</v>
      </c>
      <c r="E14" s="4" t="n">
        <v>180</v>
      </c>
      <c r="F14" s="20" t="n">
        <v>0.1949</v>
      </c>
      <c r="G14" s="20" t="n">
        <v>-0.01141</v>
      </c>
      <c r="H14" s="18" t="n">
        <f aca="false">F14/C14/(D14)^2</f>
        <v>1.08787720216292</v>
      </c>
      <c r="I14" s="4" t="n">
        <f aca="false">G14/C14/(D14)^2</f>
        <v>-0.0636874236874237</v>
      </c>
      <c r="J14" s="2" t="n">
        <v>160</v>
      </c>
      <c r="K14" s="20" t="n">
        <v>0.2101</v>
      </c>
      <c r="L14" s="20" t="n">
        <v>-0.07142</v>
      </c>
      <c r="M14" s="18" t="n">
        <f aca="false">K14/C14/(D14)^2</f>
        <v>1.17271934414792</v>
      </c>
      <c r="N14" s="3" t="n">
        <f aca="false">L14/C14/(D14)^2</f>
        <v>-0.398646432932147</v>
      </c>
      <c r="O14" s="2" t="n">
        <v>90</v>
      </c>
      <c r="P14" s="20" t="n">
        <v>0.1511</v>
      </c>
      <c r="Q14" s="20" t="n">
        <v>-0.1253</v>
      </c>
      <c r="R14" s="18" t="n">
        <f aca="false">P14/C14/(D14)^2</f>
        <v>0.8433978719693</v>
      </c>
      <c r="S14" s="3" t="n">
        <f aca="false">Q14/C14/(D14)^2</f>
        <v>-0.699389499389499</v>
      </c>
      <c r="T14" s="2" t="n">
        <v>45</v>
      </c>
      <c r="U14" s="20" t="n">
        <v>0.05871</v>
      </c>
      <c r="V14" s="20" t="n">
        <v>-0.03149</v>
      </c>
      <c r="W14" s="18" t="n">
        <f aca="false">U14/C14/(D14)^2</f>
        <v>0.327702773417059</v>
      </c>
      <c r="X14" s="3" t="n">
        <f aca="false">V14/C14/(D14)^2</f>
        <v>-0.175768358625501</v>
      </c>
      <c r="Y14" s="2" t="n">
        <v>15</v>
      </c>
      <c r="Z14" s="20" t="n">
        <v>0.007476</v>
      </c>
      <c r="AA14" s="20" t="n">
        <v>-0.01158</v>
      </c>
      <c r="AB14" s="18" t="n">
        <f aca="false">Z14/C14/(D14)^2</f>
        <v>0.0417289377289377</v>
      </c>
      <c r="AC14" s="3" t="n">
        <f aca="false">AA14/C14/(D14)^2</f>
        <v>-0.0646363160648875</v>
      </c>
    </row>
    <row r="15" customFormat="false" ht="12.8" hidden="false" customHeight="false" outlineLevel="0" collapsed="false">
      <c r="A15" s="1" t="s">
        <v>29</v>
      </c>
      <c r="B15" s="2" t="n">
        <v>0.0052</v>
      </c>
      <c r="C15" s="18" t="n">
        <f aca="false">B15*1.225/2</f>
        <v>0.003185</v>
      </c>
      <c r="D15" s="3" t="n">
        <v>7.5</v>
      </c>
      <c r="E15" s="4" t="n">
        <v>180</v>
      </c>
      <c r="F15" s="20" t="n">
        <v>0.1952</v>
      </c>
      <c r="G15" s="20" t="n">
        <v>0.009805</v>
      </c>
      <c r="H15" s="18" t="n">
        <f aca="false">F15/C15/(D15)^2</f>
        <v>1.08955171812315</v>
      </c>
      <c r="I15" s="4" t="n">
        <f aca="false">G15/C15/(D15)^2</f>
        <v>0.0547287633001919</v>
      </c>
      <c r="J15" s="2" t="n">
        <v>160</v>
      </c>
      <c r="K15" s="20" t="n">
        <v>0.198</v>
      </c>
      <c r="L15" s="20" t="n">
        <v>0.03446</v>
      </c>
      <c r="M15" s="18" t="n">
        <f aca="false">K15/C15/(D15)^2</f>
        <v>1.10518053375196</v>
      </c>
      <c r="N15" s="3" t="n">
        <f aca="false">L15/C15/(D15)^2</f>
        <v>0.192346066631781</v>
      </c>
      <c r="O15" s="2" t="n">
        <v>90</v>
      </c>
      <c r="P15" s="20" t="n">
        <v>0.1514</v>
      </c>
      <c r="Q15" s="20" t="n">
        <v>-0.2959</v>
      </c>
      <c r="R15" s="18" t="n">
        <f aca="false">P15/C15/(D15)^2</f>
        <v>0.845072387929531</v>
      </c>
      <c r="S15" s="3" t="n">
        <f aca="false">Q15/C15/(D15)^2</f>
        <v>-1.65163090877377</v>
      </c>
      <c r="T15" s="2" t="n">
        <v>45</v>
      </c>
      <c r="U15" s="20" t="n">
        <v>0.1043</v>
      </c>
      <c r="V15" s="20" t="n">
        <v>-0.06712</v>
      </c>
      <c r="W15" s="18" t="n">
        <f aca="false">U15/C15/(D15)^2</f>
        <v>0.582173382173382</v>
      </c>
      <c r="X15" s="3" t="n">
        <f aca="false">V15/C15/(D15)^2</f>
        <v>-0.37464503750218</v>
      </c>
      <c r="Y15" s="2" t="n">
        <v>15</v>
      </c>
      <c r="Z15" s="20" t="n">
        <v>0.04144</v>
      </c>
      <c r="AA15" s="20" t="n">
        <v>-0.02667</v>
      </c>
      <c r="AB15" s="18" t="n">
        <f aca="false">Z15/C15/(D15)^2</f>
        <v>0.231306471306471</v>
      </c>
      <c r="AC15" s="3" t="n">
        <f aca="false">AA15/C15/(D15)^2</f>
        <v>-0.148864468864469</v>
      </c>
    </row>
    <row r="16" customFormat="false" ht="12.8" hidden="false" customHeight="false" outlineLevel="0" collapsed="false">
      <c r="A16" s="1" t="s">
        <v>30</v>
      </c>
      <c r="D16" s="3" t="n">
        <v>7.5</v>
      </c>
      <c r="E16" s="4" t="n">
        <v>180</v>
      </c>
      <c r="F16" s="22" t="n">
        <f aca="false">SUM(F3:F15)</f>
        <v>7.054474</v>
      </c>
      <c r="G16" s="22" t="n">
        <f aca="false">SUM(G3:G15)</f>
        <v>-0.197875</v>
      </c>
      <c r="H16" s="0" t="n">
        <f aca="false">F16/((D16)^2)</f>
        <v>0.125412871111111</v>
      </c>
      <c r="I16" s="0" t="n">
        <f aca="false">G16/((D16)^2)</f>
        <v>-0.00351777777777778</v>
      </c>
      <c r="J16" s="2" t="n">
        <v>160</v>
      </c>
      <c r="K16" s="22" t="n">
        <f aca="false">SUM(K3:K15)</f>
        <v>7.01866</v>
      </c>
      <c r="L16" s="22" t="n">
        <f aca="false">SUM(L3:L15)</f>
        <v>0.57429</v>
      </c>
      <c r="M16" s="0" t="n">
        <f aca="false">K16/((D16)^2)</f>
        <v>0.124776177777778</v>
      </c>
      <c r="N16" s="0" t="n">
        <f aca="false">L16/((D16)^2)</f>
        <v>0.0102096</v>
      </c>
      <c r="O16" s="2" t="n">
        <v>90</v>
      </c>
      <c r="P16" s="22" t="n">
        <f aca="false">SUM(P3:P15)</f>
        <v>7.162862</v>
      </c>
      <c r="Q16" s="22" t="n">
        <f aca="false">SUM(Q3:Q15)</f>
        <v>0.14477</v>
      </c>
      <c r="R16" s="0" t="n">
        <f aca="false">P16/((D16)^2)</f>
        <v>0.127339768888889</v>
      </c>
      <c r="S16" s="0" t="n">
        <f aca="false">Q16/((D16)^2)</f>
        <v>0.00257368888888889</v>
      </c>
      <c r="T16" s="2" t="n">
        <v>45</v>
      </c>
      <c r="U16" s="22" t="n">
        <f aca="false">SUM(U3:U15)</f>
        <v>7.211459</v>
      </c>
      <c r="V16" s="22" t="n">
        <f aca="false">SUM(V3:V15)</f>
        <v>0.0461300000000001</v>
      </c>
      <c r="W16" s="0" t="n">
        <f aca="false">U16/((D16)^2)</f>
        <v>0.128203715555556</v>
      </c>
      <c r="X16" s="0" t="n">
        <f aca="false">V16/((D16)^2)</f>
        <v>0.000820088888888891</v>
      </c>
      <c r="Y16" s="1" t="n">
        <v>15</v>
      </c>
      <c r="Z16" s="22" t="n">
        <f aca="false">SUM(Z3:Z15)</f>
        <v>6.824425</v>
      </c>
      <c r="AA16" s="22" t="n">
        <f aca="false">SUM(AA3:AA15)</f>
        <v>-0.99733</v>
      </c>
      <c r="AB16" s="0" t="n">
        <f aca="false">Z16/((D16)^2)</f>
        <v>0.121323111111111</v>
      </c>
      <c r="AC16" s="0" t="n">
        <f aca="false">AA16/((D16)^2)</f>
        <v>-0.0177303111111111</v>
      </c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1.5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7.36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36</v>
      </c>
      <c r="B1" s="6" t="s">
        <v>1</v>
      </c>
      <c r="C1" s="7"/>
      <c r="D1" s="8" t="s">
        <v>2</v>
      </c>
      <c r="E1" s="9" t="s">
        <v>37</v>
      </c>
      <c r="F1" s="9"/>
      <c r="G1" s="9"/>
      <c r="H1" s="9"/>
      <c r="I1" s="9"/>
      <c r="J1" s="10" t="s">
        <v>38</v>
      </c>
      <c r="K1" s="10"/>
      <c r="L1" s="10"/>
      <c r="M1" s="10"/>
      <c r="N1" s="10"/>
      <c r="O1" s="10" t="s">
        <v>39</v>
      </c>
      <c r="P1" s="10"/>
      <c r="Q1" s="10"/>
      <c r="R1" s="10"/>
      <c r="S1" s="10"/>
      <c r="T1" s="10" t="s">
        <v>40</v>
      </c>
      <c r="U1" s="10"/>
      <c r="V1" s="10"/>
      <c r="W1" s="10"/>
      <c r="X1" s="10"/>
      <c r="Y1" s="10" t="s">
        <v>41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9" t="s">
        <v>42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42</v>
      </c>
      <c r="K2" s="16" t="s">
        <v>13</v>
      </c>
      <c r="L2" s="17" t="s">
        <v>14</v>
      </c>
      <c r="M2" s="18" t="s">
        <v>15</v>
      </c>
      <c r="N2" s="4" t="s">
        <v>16</v>
      </c>
      <c r="O2" s="19" t="s">
        <v>42</v>
      </c>
      <c r="P2" s="16" t="s">
        <v>13</v>
      </c>
      <c r="Q2" s="17" t="s">
        <v>14</v>
      </c>
      <c r="R2" s="18" t="s">
        <v>15</v>
      </c>
      <c r="S2" s="4" t="s">
        <v>16</v>
      </c>
      <c r="T2" s="19" t="s">
        <v>42</v>
      </c>
      <c r="U2" s="16" t="s">
        <v>13</v>
      </c>
      <c r="V2" s="17" t="s">
        <v>14</v>
      </c>
      <c r="W2" s="18" t="s">
        <v>15</v>
      </c>
      <c r="X2" s="4" t="s">
        <v>16</v>
      </c>
      <c r="Y2" s="19" t="s">
        <v>42</v>
      </c>
      <c r="Z2" s="16" t="s">
        <v>13</v>
      </c>
      <c r="AA2" s="17" t="s">
        <v>14</v>
      </c>
      <c r="AB2" s="18" t="s">
        <v>15</v>
      </c>
      <c r="AC2" s="4" t="s">
        <v>16</v>
      </c>
    </row>
    <row r="3" customFormat="false" ht="12.8" hidden="false" customHeight="false" outlineLevel="0" collapsed="false">
      <c r="A3" s="1" t="s">
        <v>17</v>
      </c>
      <c r="B3" s="2" t="n">
        <v>0.0429</v>
      </c>
      <c r="C3" s="18" t="n">
        <f aca="false">B3*1.225/2</f>
        <v>0.02627625</v>
      </c>
      <c r="D3" s="3" t="n">
        <v>7.5</v>
      </c>
      <c r="E3" s="2"/>
      <c r="F3" s="20" t="n">
        <v>1.057</v>
      </c>
      <c r="G3" s="20" t="n">
        <v>1.503</v>
      </c>
      <c r="H3" s="18" t="n">
        <f aca="false">F3/C3/(D3)^2</f>
        <v>0.715136715136715</v>
      </c>
      <c r="I3" s="4" t="n">
        <f aca="false">G3/C3/(D3)^2</f>
        <v>1.01688787403073</v>
      </c>
      <c r="K3" s="20" t="n">
        <v>0.9147</v>
      </c>
      <c r="L3" s="20" t="n">
        <v>1.427</v>
      </c>
      <c r="M3" s="18" t="n">
        <f aca="false">K3/C3/(D3)^2</f>
        <v>0.61886050457479</v>
      </c>
      <c r="N3" s="3" t="n">
        <f aca="false">L3/C3/(D3)^2</f>
        <v>0.965468394039823</v>
      </c>
      <c r="P3" s="20" t="n">
        <v>0.6961</v>
      </c>
      <c r="Q3" s="20" t="n">
        <v>0.6919</v>
      </c>
      <c r="R3" s="18" t="n">
        <f aca="false">P3/C3/(D3)^2</f>
        <v>0.470961842390414</v>
      </c>
      <c r="S3" s="3" t="n">
        <f aca="false">Q3/C3/(D3)^2</f>
        <v>0.468120239548811</v>
      </c>
      <c r="U3" s="20" t="n">
        <v>0.8617</v>
      </c>
      <c r="V3" s="20" t="n">
        <v>1.175</v>
      </c>
      <c r="W3" s="18" t="n">
        <f aca="false">U3/C3/(D3)^2</f>
        <v>0.583002183002183</v>
      </c>
      <c r="X3" s="3" t="n">
        <f aca="false">V3/C3/(D3)^2</f>
        <v>0.794972223543652</v>
      </c>
      <c r="Y3" s="2"/>
      <c r="Z3" s="20" t="n">
        <v>1.082</v>
      </c>
      <c r="AA3" s="20" t="n">
        <v>1.572</v>
      </c>
      <c r="AB3" s="18" t="n">
        <f aca="false">Z3/C3/(D3)^2</f>
        <v>0.732051017765304</v>
      </c>
      <c r="AC3" s="3" t="n">
        <f aca="false">AA3/C3/(D3)^2</f>
        <v>1.06357134928564</v>
      </c>
    </row>
    <row r="4" customFormat="false" ht="12.8" hidden="false" customHeight="false" outlineLevel="0" collapsed="false">
      <c r="A4" s="1" t="s">
        <v>18</v>
      </c>
      <c r="B4" s="2" t="n">
        <v>0.153</v>
      </c>
      <c r="C4" s="18" t="n">
        <f aca="false">B4*1.225/2</f>
        <v>0.0937125</v>
      </c>
      <c r="D4" s="3" t="n">
        <v>7.5</v>
      </c>
      <c r="E4" s="2"/>
      <c r="F4" s="20" t="n">
        <v>5.531</v>
      </c>
      <c r="G4" s="20" t="n">
        <v>0.208</v>
      </c>
      <c r="H4" s="18" t="n">
        <f aca="false">F4/C4/(D4)^2</f>
        <v>1.04926118595586</v>
      </c>
      <c r="I4" s="4" t="n">
        <f aca="false">G4/C4/(D4)^2</f>
        <v>0.0394587464615476</v>
      </c>
      <c r="K4" s="20" t="n">
        <v>3.645</v>
      </c>
      <c r="L4" s="20" t="n">
        <v>0.7887</v>
      </c>
      <c r="M4" s="18" t="n">
        <f aca="false">K4/C4/(D4)^2</f>
        <v>0.691476590636254</v>
      </c>
      <c r="N4" s="3" t="n">
        <f aca="false">L4/C4/(D4)^2</f>
        <v>0.149620737183762</v>
      </c>
      <c r="P4" s="20" t="n">
        <v>3.502</v>
      </c>
      <c r="Q4" s="20" t="n">
        <v>0.5462</v>
      </c>
      <c r="R4" s="18" t="n">
        <f aca="false">P4/C4/(D4)^2</f>
        <v>0.66434870244394</v>
      </c>
      <c r="S4" s="3" t="n">
        <f aca="false">Q4/C4/(D4)^2</f>
        <v>0.103617150563929</v>
      </c>
      <c r="U4" s="20" t="n">
        <v>3.664</v>
      </c>
      <c r="V4" s="20" t="n">
        <v>0.8776</v>
      </c>
      <c r="W4" s="18" t="n">
        <f aca="false">U4/C4/(D4)^2</f>
        <v>0.695080995361107</v>
      </c>
      <c r="X4" s="3" t="n">
        <f aca="false">V4/C4/(D4)^2</f>
        <v>0.166485557185837</v>
      </c>
      <c r="Y4" s="2"/>
      <c r="Z4" s="20" t="n">
        <v>4.781</v>
      </c>
      <c r="AA4" s="20" t="n">
        <v>1.666</v>
      </c>
      <c r="AB4" s="18" t="n">
        <f aca="false">Z4/C4/(D4)^2</f>
        <v>0.906982052080091</v>
      </c>
      <c r="AC4" s="3" t="n">
        <f aca="false">AA4/C4/(D4)^2</f>
        <v>0.316049382716049</v>
      </c>
    </row>
    <row r="5" customFormat="false" ht="12.8" hidden="false" customHeight="false" outlineLevel="0" collapsed="false">
      <c r="A5" s="1" t="s">
        <v>19</v>
      </c>
      <c r="B5" s="2" t="n">
        <v>0.0484</v>
      </c>
      <c r="C5" s="18" t="n">
        <f aca="false">B5*1.225/2</f>
        <v>0.029645</v>
      </c>
      <c r="D5" s="3" t="n">
        <v>7.5</v>
      </c>
      <c r="E5" s="2"/>
      <c r="F5" s="20" t="n">
        <v>1.221</v>
      </c>
      <c r="G5" s="20" t="n">
        <v>-0.5253</v>
      </c>
      <c r="H5" s="18" t="n">
        <f aca="false">F5/C5/(D5)^2</f>
        <v>0.732220160791589</v>
      </c>
      <c r="I5" s="4" t="n">
        <f aca="false">G5/C5/(D5)^2</f>
        <v>-0.315016585146455</v>
      </c>
      <c r="K5" s="20" t="n">
        <v>0.9308</v>
      </c>
      <c r="L5" s="20" t="n">
        <v>-0.4141</v>
      </c>
      <c r="M5" s="18" t="n">
        <f aca="false">K5/C5/(D5)^2</f>
        <v>0.558190438709919</v>
      </c>
      <c r="N5" s="3" t="n">
        <f aca="false">L5/C5/(D5)^2</f>
        <v>-0.248331178201308</v>
      </c>
      <c r="P5" s="20" t="n">
        <v>0.7072</v>
      </c>
      <c r="Q5" s="20" t="n">
        <v>-0.3233</v>
      </c>
      <c r="R5" s="18" t="n">
        <f aca="false">P5/C5/(D5)^2</f>
        <v>0.424099998125972</v>
      </c>
      <c r="S5" s="3" t="n">
        <f aca="false">Q5/C5/(D5)^2</f>
        <v>-0.193879425048256</v>
      </c>
      <c r="U5" s="20" t="n">
        <v>0.8264</v>
      </c>
      <c r="V5" s="20" t="n">
        <v>-0.4164</v>
      </c>
      <c r="W5" s="18" t="n">
        <f aca="false">U5/C5/(D5)^2</f>
        <v>0.495582916362137</v>
      </c>
      <c r="X5" s="3" t="n">
        <f aca="false">V5/C5/(D5)^2</f>
        <v>-0.249710462697476</v>
      </c>
      <c r="Y5" s="2"/>
      <c r="Z5" s="20" t="n">
        <v>1.078</v>
      </c>
      <c r="AA5" s="20" t="n">
        <v>-0.411</v>
      </c>
      <c r="AB5" s="18" t="n">
        <f aca="false">Z5/C5/(D5)^2</f>
        <v>0.646464646464646</v>
      </c>
      <c r="AC5" s="3" t="n">
        <f aca="false">AA5/C5/(D5)^2</f>
        <v>-0.246472142576039</v>
      </c>
    </row>
    <row r="6" customFormat="false" ht="12.65" hidden="false" customHeight="true" outlineLevel="0" collapsed="false">
      <c r="A6" s="1" t="s">
        <v>20</v>
      </c>
      <c r="B6" s="2" t="n">
        <v>0.0136</v>
      </c>
      <c r="C6" s="18" t="n">
        <f aca="false">B6*1.225/2</f>
        <v>0.00833</v>
      </c>
      <c r="D6" s="3" t="n">
        <v>7.5</v>
      </c>
      <c r="E6" s="2"/>
      <c r="F6" s="20" t="n">
        <v>0.2587</v>
      </c>
      <c r="G6" s="20" t="n">
        <v>0.0005918</v>
      </c>
      <c r="H6" s="18" t="n">
        <f aca="false">F6/C6/(D6)^2</f>
        <v>0.552114179004935</v>
      </c>
      <c r="I6" s="4" t="n">
        <f aca="false">G6/C6/(D6)^2</f>
        <v>0.00126301187141523</v>
      </c>
      <c r="K6" s="20" t="n">
        <v>0.2381</v>
      </c>
      <c r="L6" s="20" t="n">
        <v>0.1236</v>
      </c>
      <c r="M6" s="18" t="n">
        <f aca="false">K6/C6/(D6)^2</f>
        <v>0.508149926637322</v>
      </c>
      <c r="N6" s="3" t="n">
        <f aca="false">L6/C6/(D6)^2</f>
        <v>0.263785514205682</v>
      </c>
      <c r="P6" s="20" t="n">
        <v>0.009802</v>
      </c>
      <c r="Q6" s="20" t="n">
        <v>-0.03884</v>
      </c>
      <c r="R6" s="18" t="n">
        <f aca="false">P6/C6/(D6)^2</f>
        <v>0.0209193010537548</v>
      </c>
      <c r="S6" s="3" t="n">
        <f aca="false">Q6/C6/(D6)^2</f>
        <v>-0.0828918233960251</v>
      </c>
      <c r="U6" s="20" t="n">
        <v>0.425</v>
      </c>
      <c r="V6" s="20" t="n">
        <v>0.1746</v>
      </c>
      <c r="W6" s="18" t="n">
        <f aca="false">U6/C6/(D6)^2</f>
        <v>0.90702947845805</v>
      </c>
      <c r="X6" s="3" t="n">
        <f aca="false">V6/C6/(D6)^2</f>
        <v>0.372629051620648</v>
      </c>
      <c r="Y6" s="2"/>
      <c r="Z6" s="20" t="n">
        <v>0.406</v>
      </c>
      <c r="AA6" s="20" t="n">
        <v>0.3136</v>
      </c>
      <c r="AB6" s="18" t="n">
        <f aca="false">Z6/C6/(D6)^2</f>
        <v>0.866479925303455</v>
      </c>
      <c r="AC6" s="3" t="n">
        <f aca="false">AA6/C6/(D6)^2</f>
        <v>0.669281045751634</v>
      </c>
    </row>
    <row r="7" customFormat="false" ht="12.8" hidden="false" customHeight="false" outlineLevel="0" collapsed="false">
      <c r="A7" s="1" t="s">
        <v>21</v>
      </c>
      <c r="B7" s="2" t="n">
        <v>0.0136</v>
      </c>
      <c r="C7" s="18" t="n">
        <f aca="false">B7*1.225/2</f>
        <v>0.00833</v>
      </c>
      <c r="D7" s="3" t="n">
        <v>7.5</v>
      </c>
      <c r="E7" s="2"/>
      <c r="F7" s="20" t="n">
        <v>0.2606</v>
      </c>
      <c r="G7" s="20" t="n">
        <v>-0.002649</v>
      </c>
      <c r="H7" s="18" t="n">
        <f aca="false">F7/C7/(D7)^2</f>
        <v>0.556169134320395</v>
      </c>
      <c r="I7" s="4" t="n">
        <f aca="false">G7/C7/(D7)^2</f>
        <v>-0.00565346138455382</v>
      </c>
      <c r="K7" s="20" t="n">
        <v>0.3603</v>
      </c>
      <c r="L7" s="20" t="n">
        <v>-0.04516</v>
      </c>
      <c r="M7" s="18" t="n">
        <f aca="false">K7/C7/(D7)^2</f>
        <v>0.768947579031613</v>
      </c>
      <c r="N7" s="3" t="n">
        <f aca="false">L7/C7/(D7)^2</f>
        <v>-0.0963798852874483</v>
      </c>
      <c r="P7" s="20" t="n">
        <v>0.0957</v>
      </c>
      <c r="Q7" s="20" t="n">
        <v>-0.0295</v>
      </c>
      <c r="R7" s="18" t="n">
        <f aca="false">P7/C7/(D7)^2</f>
        <v>0.204241696678671</v>
      </c>
      <c r="S7" s="3" t="n">
        <f aca="false">Q7/C7/(D7)^2</f>
        <v>-0.0629585167400294</v>
      </c>
      <c r="U7" s="20" t="n">
        <v>0.4994</v>
      </c>
      <c r="V7" s="20" t="n">
        <v>0.2228</v>
      </c>
      <c r="W7" s="18" t="n">
        <f aca="false">U7/C7/(D7)^2</f>
        <v>1.06581299186341</v>
      </c>
      <c r="X7" s="3" t="n">
        <f aca="false">V7/C7/(D7)^2</f>
        <v>0.475496865412832</v>
      </c>
      <c r="Y7" s="2"/>
      <c r="Z7" s="20" t="n">
        <v>0.3906</v>
      </c>
      <c r="AA7" s="20" t="n">
        <v>0.2939</v>
      </c>
      <c r="AB7" s="18" t="n">
        <f aca="false">Z7/C7/(D7)^2</f>
        <v>0.833613445378151</v>
      </c>
      <c r="AC7" s="3" t="n">
        <f aca="false">AA7/C7/(D7)^2</f>
        <v>0.627237561691343</v>
      </c>
    </row>
    <row r="8" customFormat="false" ht="12.8" hidden="false" customHeight="false" outlineLevel="0" collapsed="false">
      <c r="A8" s="1" t="s">
        <v>22</v>
      </c>
      <c r="B8" s="2" t="n">
        <v>0.0433</v>
      </c>
      <c r="C8" s="18" t="n">
        <f aca="false">B8*1.225/2</f>
        <v>0.02652125</v>
      </c>
      <c r="D8" s="3" t="n">
        <v>7.5</v>
      </c>
      <c r="E8" s="2"/>
      <c r="F8" s="20" t="n">
        <v>1.288</v>
      </c>
      <c r="G8" s="20" t="n">
        <v>0.01417</v>
      </c>
      <c r="H8" s="18" t="n">
        <f aca="false">F8/C8/(D8)^2</f>
        <v>0.863374757139191</v>
      </c>
      <c r="I8" s="4" t="n">
        <f aca="false">G8/C8/(D8)^2</f>
        <v>0.00949846297256393</v>
      </c>
      <c r="K8" s="20" t="n">
        <v>0.6887</v>
      </c>
      <c r="L8" s="20" t="n">
        <v>0.08567</v>
      </c>
      <c r="M8" s="18" t="n">
        <f aca="false">K8/C8/(D8)^2</f>
        <v>0.461650772703231</v>
      </c>
      <c r="N8" s="3" t="n">
        <f aca="false">L8/C8/(D8)^2</f>
        <v>0.0574264871460516</v>
      </c>
      <c r="P8" s="20" t="n">
        <v>-0.08488</v>
      </c>
      <c r="Q8" s="20" t="n">
        <v>0.07395</v>
      </c>
      <c r="R8" s="18" t="n">
        <f aca="false">P8/C8/(D8)^2</f>
        <v>-0.0568969327530858</v>
      </c>
      <c r="S8" s="3" t="n">
        <f aca="false">Q8/C8/(D8)^2</f>
        <v>0.0495703131136981</v>
      </c>
      <c r="U8" s="20" t="n">
        <v>0.6654</v>
      </c>
      <c r="V8" s="20" t="n">
        <v>0.1458</v>
      </c>
      <c r="W8" s="18" t="n">
        <f aca="false">U8/C8/(D8)^2</f>
        <v>0.446032269720821</v>
      </c>
      <c r="X8" s="3" t="n">
        <f aca="false">V8/C8/(D8)^2</f>
        <v>0.0977329499929302</v>
      </c>
      <c r="Y8" s="2"/>
      <c r="Z8" s="20" t="n">
        <v>0.9734</v>
      </c>
      <c r="AA8" s="20" t="n">
        <v>0.05667</v>
      </c>
      <c r="AB8" s="18" t="n">
        <f aca="false">Z8/C8/(D8)^2</f>
        <v>0.652491450775845</v>
      </c>
      <c r="AC8" s="3" t="n">
        <f aca="false">AA8/C8/(D8)^2</f>
        <v>0.0379871486700916</v>
      </c>
    </row>
    <row r="9" customFormat="false" ht="12.8" hidden="false" customHeight="false" outlineLevel="0" collapsed="false">
      <c r="A9" s="1" t="s">
        <v>23</v>
      </c>
      <c r="B9" s="2" t="n">
        <v>0.0433</v>
      </c>
      <c r="C9" s="18" t="n">
        <f aca="false">B9*1.225/2</f>
        <v>0.02652125</v>
      </c>
      <c r="D9" s="3" t="n">
        <v>7.5</v>
      </c>
      <c r="E9" s="2"/>
      <c r="F9" s="20" t="n">
        <v>1.287</v>
      </c>
      <c r="G9" s="20" t="n">
        <v>0.03256</v>
      </c>
      <c r="H9" s="18" t="n">
        <f aca="false">F9/C9/(D9)^2</f>
        <v>0.862704435122779</v>
      </c>
      <c r="I9" s="4" t="n">
        <f aca="false">G9/C9/(D9)^2</f>
        <v>0.0218256848543882</v>
      </c>
      <c r="K9" s="20" t="n">
        <v>1.239</v>
      </c>
      <c r="L9" s="20" t="n">
        <v>-0.06376</v>
      </c>
      <c r="M9" s="18" t="n">
        <f aca="false">K9/C9/(D9)^2</f>
        <v>0.830528978334983</v>
      </c>
      <c r="N9" s="3" t="n">
        <f aca="false">L9/C9/(D9)^2</f>
        <v>-0.0427397317664556</v>
      </c>
      <c r="P9" s="20" t="n">
        <v>0.6738</v>
      </c>
      <c r="Q9" s="20" t="n">
        <v>-0.1716</v>
      </c>
      <c r="R9" s="18" t="n">
        <f aca="false">P9/C9/(D9)^2</f>
        <v>0.451662974658686</v>
      </c>
      <c r="S9" s="3" t="n">
        <f aca="false">Q9/C9/(D9)^2</f>
        <v>-0.11502725801637</v>
      </c>
      <c r="U9" s="20" t="n">
        <v>1.431</v>
      </c>
      <c r="V9" s="20" t="n">
        <v>-0.6392</v>
      </c>
      <c r="W9" s="18" t="n">
        <f aca="false">U9/C9/(D9)^2</f>
        <v>0.959230805486166</v>
      </c>
      <c r="X9" s="3" t="n">
        <f aca="false">V9/C9/(D9)^2</f>
        <v>-0.428469832890816</v>
      </c>
      <c r="Y9" s="2"/>
      <c r="Z9" s="20" t="n">
        <v>1.083</v>
      </c>
      <c r="AA9" s="20" t="n">
        <v>0.3452</v>
      </c>
      <c r="AB9" s="18" t="n">
        <f aca="false">Z9/C9/(D9)^2</f>
        <v>0.725958743774646</v>
      </c>
      <c r="AC9" s="3" t="n">
        <f aca="false">AA9/C9/(D9)^2</f>
        <v>0.231395160065566</v>
      </c>
    </row>
    <row r="10" customFormat="false" ht="12.8" hidden="false" customHeight="false" outlineLevel="0" collapsed="false">
      <c r="A10" s="1" t="s">
        <v>24</v>
      </c>
      <c r="B10" s="2" t="n">
        <v>0.0247</v>
      </c>
      <c r="C10" s="18" t="n">
        <f aca="false">B10*1.225/2</f>
        <v>0.01512875</v>
      </c>
      <c r="D10" s="3" t="n">
        <v>7.5</v>
      </c>
      <c r="E10" s="2"/>
      <c r="F10" s="20" t="n">
        <v>0.5718</v>
      </c>
      <c r="G10" s="20" t="n">
        <v>0.1936</v>
      </c>
      <c r="H10" s="18" t="n">
        <f aca="false">F10/C10/(D10)^2</f>
        <v>0.671921562147126</v>
      </c>
      <c r="I10" s="4" t="n">
        <f aca="false">G10/C10/(D10)^2</f>
        <v>0.227499150807421</v>
      </c>
      <c r="K10" s="20" t="n">
        <v>0.4095</v>
      </c>
      <c r="L10" s="20" t="n">
        <v>0.1432</v>
      </c>
      <c r="M10" s="18" t="n">
        <f aca="false">K10/C10/(D10)^2</f>
        <v>0.481203007518797</v>
      </c>
      <c r="N10" s="3" t="n">
        <f aca="false">L10/C10/(D10)^2</f>
        <v>0.168274165266646</v>
      </c>
      <c r="P10" s="20" t="n">
        <v>-0.05706</v>
      </c>
      <c r="Q10" s="20" t="n">
        <v>0.07491</v>
      </c>
      <c r="R10" s="18" t="n">
        <f aca="false">P10/C10/(D10)^2</f>
        <v>-0.0670511443443774</v>
      </c>
      <c r="S10" s="3" t="n">
        <f aca="false">Q10/C10/(D10)^2</f>
        <v>0.0880266600567352</v>
      </c>
      <c r="U10" s="20" t="n">
        <v>0.446</v>
      </c>
      <c r="V10" s="20" t="n">
        <v>0.1259</v>
      </c>
      <c r="W10" s="18" t="n">
        <f aca="false">U10/C10/(D10)^2</f>
        <v>0.52409411807908</v>
      </c>
      <c r="X10" s="3" t="n">
        <f aca="false">V10/C10/(D10)^2</f>
        <v>0.147944953959992</v>
      </c>
      <c r="Y10" s="2"/>
      <c r="Z10" s="20" t="n">
        <v>0.5688</v>
      </c>
      <c r="AA10" s="20" t="n">
        <v>0.1595</v>
      </c>
      <c r="AB10" s="18" t="n">
        <f aca="false">Z10/C10/(D10)^2</f>
        <v>0.668396265388747</v>
      </c>
      <c r="AC10" s="3" t="n">
        <f aca="false">AA10/C10/(D10)^2</f>
        <v>0.187428277653842</v>
      </c>
    </row>
    <row r="11" customFormat="false" ht="12.8" hidden="false" customHeight="false" outlineLevel="0" collapsed="false">
      <c r="A11" s="1" t="s">
        <v>25</v>
      </c>
      <c r="B11" s="2" t="n">
        <v>0.0247</v>
      </c>
      <c r="C11" s="18" t="n">
        <f aca="false">B11*1.225/2</f>
        <v>0.01512875</v>
      </c>
      <c r="D11" s="3" t="n">
        <v>7.5</v>
      </c>
      <c r="E11" s="2"/>
      <c r="F11" s="20" t="n">
        <v>0.5277</v>
      </c>
      <c r="G11" s="20" t="n">
        <v>0.1958</v>
      </c>
      <c r="H11" s="18" t="n">
        <f aca="false">F11/C11/(D11)^2</f>
        <v>0.620099699798948</v>
      </c>
      <c r="I11" s="4" t="n">
        <f aca="false">G11/C11/(D11)^2</f>
        <v>0.230084368430233</v>
      </c>
      <c r="K11" s="20" t="n">
        <v>0.6633</v>
      </c>
      <c r="L11" s="20" t="n">
        <v>0.09029</v>
      </c>
      <c r="M11" s="18" t="n">
        <f aca="false">K11/C11/(D11)^2</f>
        <v>0.7794431132777</v>
      </c>
      <c r="N11" s="3" t="n">
        <f aca="false">L11/C11/(D11)^2</f>
        <v>0.106099681438027</v>
      </c>
      <c r="P11" s="20" t="n">
        <v>0.4946</v>
      </c>
      <c r="Q11" s="20" t="n">
        <v>-0.08422</v>
      </c>
      <c r="R11" s="18" t="n">
        <f aca="false">P11/C11/(D11)^2</f>
        <v>0.581203925564828</v>
      </c>
      <c r="S11" s="3" t="n">
        <f aca="false">Q11/C11/(D11)^2</f>
        <v>-0.0989668309969062</v>
      </c>
      <c r="U11" s="20" t="n">
        <v>0.6656</v>
      </c>
      <c r="V11" s="20" t="n">
        <v>0.04687</v>
      </c>
      <c r="W11" s="18" t="n">
        <f aca="false">U11/C11/(D11)^2</f>
        <v>0.782145840792457</v>
      </c>
      <c r="X11" s="3" t="n">
        <f aca="false">V11/C11/(D11)^2</f>
        <v>0.0550768863550818</v>
      </c>
      <c r="Y11" s="2"/>
      <c r="Z11" s="20" t="n">
        <v>0.5577</v>
      </c>
      <c r="AA11" s="20" t="n">
        <v>0.1571</v>
      </c>
      <c r="AB11" s="18" t="n">
        <f aca="false">Z11/C11/(D11)^2</f>
        <v>0.655352667382742</v>
      </c>
      <c r="AC11" s="3" t="n">
        <f aca="false">AA11/C11/(D11)^2</f>
        <v>0.184608040247138</v>
      </c>
    </row>
    <row r="12" customFormat="false" ht="12.8" hidden="false" customHeight="false" outlineLevel="0" collapsed="false">
      <c r="A12" s="1" t="s">
        <v>26</v>
      </c>
      <c r="B12" s="2" t="n">
        <v>0.026</v>
      </c>
      <c r="C12" s="18" t="n">
        <f aca="false">B12*1.225/2</f>
        <v>0.015925</v>
      </c>
      <c r="D12" s="3" t="n">
        <v>7.5</v>
      </c>
      <c r="E12" s="2"/>
      <c r="F12" s="20" t="n">
        <v>0.7342</v>
      </c>
      <c r="G12" s="20" t="n">
        <v>-0.2135</v>
      </c>
      <c r="H12" s="18" t="n">
        <f aca="false">F12/C12/(D12)^2</f>
        <v>0.819619745334031</v>
      </c>
      <c r="I12" s="4" t="n">
        <f aca="false">G12/C12/(D12)^2</f>
        <v>-0.238339438339438</v>
      </c>
      <c r="K12" s="20" t="n">
        <v>0.4099</v>
      </c>
      <c r="L12" s="20" t="n">
        <v>-0.1289</v>
      </c>
      <c r="M12" s="18" t="n">
        <f aca="false">K12/C12/(D12)^2</f>
        <v>0.457589394732252</v>
      </c>
      <c r="N12" s="3" t="n">
        <f aca="false">L12/C12/(D12)^2</f>
        <v>-0.143896738182452</v>
      </c>
      <c r="P12" s="20" t="n">
        <v>0.2239</v>
      </c>
      <c r="Q12" s="20" t="n">
        <v>-0.01263</v>
      </c>
      <c r="R12" s="18" t="n">
        <f aca="false">P12/C12/(D12)^2</f>
        <v>0.249949415663701</v>
      </c>
      <c r="S12" s="3" t="n">
        <f aca="false">Q12/C12/(D12)^2</f>
        <v>-0.0140994243851387</v>
      </c>
      <c r="U12" s="20" t="n">
        <v>0.3885</v>
      </c>
      <c r="V12" s="20" t="n">
        <v>-0.1046</v>
      </c>
      <c r="W12" s="18" t="n">
        <f aca="false">U12/C12/(D12)^2</f>
        <v>0.433699633699634</v>
      </c>
      <c r="X12" s="3" t="n">
        <f aca="false">V12/C12/(D12)^2</f>
        <v>-0.116769579626722</v>
      </c>
      <c r="Y12" s="2"/>
      <c r="Z12" s="20" t="n">
        <v>0.587</v>
      </c>
      <c r="AA12" s="20" t="n">
        <v>-0.1504</v>
      </c>
      <c r="AB12" s="18" t="n">
        <f aca="false">Z12/C12/(D12)^2</f>
        <v>0.655293912436769</v>
      </c>
      <c r="AC12" s="3" t="n">
        <f aca="false">AA12/C12/(D12)^2</f>
        <v>-0.167898133612419</v>
      </c>
    </row>
    <row r="13" customFormat="false" ht="12.8" hidden="false" customHeight="false" outlineLevel="0" collapsed="false">
      <c r="A13" s="1" t="s">
        <v>27</v>
      </c>
      <c r="B13" s="2" t="n">
        <v>0.026</v>
      </c>
      <c r="C13" s="18" t="n">
        <f aca="false">B13*1.225/2</f>
        <v>0.015925</v>
      </c>
      <c r="D13" s="3" t="n">
        <v>7.5</v>
      </c>
      <c r="E13" s="2"/>
      <c r="F13" s="20" t="n">
        <v>0.5861</v>
      </c>
      <c r="G13" s="20" t="n">
        <v>-0.1641</v>
      </c>
      <c r="H13" s="18" t="n">
        <f aca="false">F13/C13/(D13)^2</f>
        <v>0.654289202860631</v>
      </c>
      <c r="I13" s="4" t="n">
        <f aca="false">G13/C13/(D13)^2</f>
        <v>-0.183192046049189</v>
      </c>
      <c r="K13" s="20" t="n">
        <v>0.7362</v>
      </c>
      <c r="L13" s="20" t="n">
        <v>-0.0932</v>
      </c>
      <c r="M13" s="18" t="n">
        <f aca="false">K13/C13/(D13)^2</f>
        <v>0.821852433281005</v>
      </c>
      <c r="N13" s="3" t="n">
        <f aca="false">L13/C13/(D13)^2</f>
        <v>-0.104043258328973</v>
      </c>
      <c r="P13" s="20" t="n">
        <v>0.5992</v>
      </c>
      <c r="Q13" s="20" t="n">
        <v>-0.1609</v>
      </c>
      <c r="R13" s="18" t="n">
        <f aca="false">P13/C13/(D13)^2</f>
        <v>0.668913308913309</v>
      </c>
      <c r="S13" s="3" t="n">
        <f aca="false">Q13/C13/(D13)^2</f>
        <v>-0.179619745334031</v>
      </c>
      <c r="U13" s="20" t="n">
        <v>0.726</v>
      </c>
      <c r="V13" s="20" t="n">
        <v>-0.08864</v>
      </c>
      <c r="W13" s="18" t="n">
        <f aca="false">U13/C13/(D13)^2</f>
        <v>0.810465724751439</v>
      </c>
      <c r="X13" s="3" t="n">
        <f aca="false">V13/C13/(D13)^2</f>
        <v>-0.0989527298098727</v>
      </c>
      <c r="Y13" s="2"/>
      <c r="Z13" s="20" t="n">
        <v>0.5923</v>
      </c>
      <c r="AA13" s="20" t="n">
        <v>-0.1509</v>
      </c>
      <c r="AB13" s="18" t="n">
        <f aca="false">Z13/C13/(D13)^2</f>
        <v>0.66121053549625</v>
      </c>
      <c r="AC13" s="3" t="n">
        <f aca="false">AA13/C13/(D13)^2</f>
        <v>-0.168456305599163</v>
      </c>
    </row>
    <row r="14" customFormat="false" ht="12.8" hidden="false" customHeight="false" outlineLevel="0" collapsed="false">
      <c r="A14" s="1" t="s">
        <v>28</v>
      </c>
      <c r="B14" s="2" t="n">
        <v>0.0052</v>
      </c>
      <c r="C14" s="18" t="n">
        <f aca="false">B14*1.225/2</f>
        <v>0.003185</v>
      </c>
      <c r="D14" s="3" t="n">
        <v>7.5</v>
      </c>
      <c r="E14" s="2"/>
      <c r="F14" s="20" t="n">
        <v>0.1409</v>
      </c>
      <c r="G14" s="20" t="n">
        <v>-0.3306</v>
      </c>
      <c r="H14" s="18" t="n">
        <f aca="false">F14/C14/(D14)^2</f>
        <v>0.786464329321472</v>
      </c>
      <c r="I14" s="4" t="n">
        <f aca="false">G14/C14/(D14)^2</f>
        <v>-1.84531658817373</v>
      </c>
      <c r="K14" s="20" t="n">
        <v>0.103</v>
      </c>
      <c r="L14" s="20" t="n">
        <v>-0.1748</v>
      </c>
      <c r="M14" s="18" t="n">
        <f aca="false">K14/C14/(D14)^2</f>
        <v>0.574917146345718</v>
      </c>
      <c r="N14" s="3" t="n">
        <f aca="false">L14/C14/(D14)^2</f>
        <v>-0.97568463282749</v>
      </c>
      <c r="P14" s="20" t="n">
        <v>0.1511</v>
      </c>
      <c r="Q14" s="20" t="n">
        <v>-0.1253</v>
      </c>
      <c r="R14" s="18" t="n">
        <f aca="false">P14/C14/(D14)^2</f>
        <v>0.8433978719693</v>
      </c>
      <c r="S14" s="3" t="n">
        <f aca="false">Q14/C14/(D14)^2</f>
        <v>-0.699389499389499</v>
      </c>
      <c r="U14" s="20" t="n">
        <v>0.09402</v>
      </c>
      <c r="V14" s="20" t="n">
        <v>-0.1514</v>
      </c>
      <c r="W14" s="18" t="n">
        <f aca="false">U14/C14/(D14)^2</f>
        <v>0.524793301936159</v>
      </c>
      <c r="X14" s="3" t="n">
        <f aca="false">V14/C14/(D14)^2</f>
        <v>-0.845072387929531</v>
      </c>
      <c r="Y14" s="2"/>
      <c r="Z14" s="20" t="n">
        <v>0.1178</v>
      </c>
      <c r="AA14" s="20" t="n">
        <v>-0.2077</v>
      </c>
      <c r="AB14" s="18" t="n">
        <f aca="false">Z14/C14/(D14)^2</f>
        <v>0.657526600383743</v>
      </c>
      <c r="AC14" s="3" t="n">
        <f aca="false">AA14/C14/(D14)^2</f>
        <v>-1.15932321646607</v>
      </c>
    </row>
    <row r="15" customFormat="false" ht="12.8" hidden="false" customHeight="false" outlineLevel="0" collapsed="false">
      <c r="A15" s="1" t="s">
        <v>29</v>
      </c>
      <c r="B15" s="2" t="n">
        <v>0.0052</v>
      </c>
      <c r="C15" s="18" t="n">
        <f aca="false">B15*1.225/2</f>
        <v>0.003185</v>
      </c>
      <c r="D15" s="3" t="n">
        <v>7.5</v>
      </c>
      <c r="E15" s="2"/>
      <c r="F15" s="20" t="n">
        <v>0.1113</v>
      </c>
      <c r="G15" s="20" t="n">
        <v>-0.2021</v>
      </c>
      <c r="H15" s="18" t="n">
        <f aca="false">F15/C15/(D15)^2</f>
        <v>0.621245421245421</v>
      </c>
      <c r="I15" s="4" t="n">
        <f aca="false">G15/C15/(D15)^2</f>
        <v>-1.12806558520844</v>
      </c>
      <c r="K15" s="20" t="n">
        <v>0.09553</v>
      </c>
      <c r="L15" s="20" t="n">
        <v>-0.1658</v>
      </c>
      <c r="M15" s="18" t="n">
        <f aca="false">K15/C15/(D15)^2</f>
        <v>0.533221698935984</v>
      </c>
      <c r="N15" s="3" t="n">
        <f aca="false">L15/C15/(D15)^2</f>
        <v>-0.925449154020582</v>
      </c>
      <c r="P15" s="20" t="n">
        <v>0.1514</v>
      </c>
      <c r="Q15" s="20" t="n">
        <v>-0.2959</v>
      </c>
      <c r="R15" s="18" t="n">
        <f aca="false">P15/C15/(D15)^2</f>
        <v>0.845072387929531</v>
      </c>
      <c r="S15" s="3" t="n">
        <f aca="false">Q15/C15/(D15)^2</f>
        <v>-1.65163090877377</v>
      </c>
      <c r="U15" s="20" t="n">
        <v>0.09129</v>
      </c>
      <c r="V15" s="20" t="n">
        <v>-0.1561</v>
      </c>
      <c r="W15" s="18" t="n">
        <f aca="false">U15/C15/(D15)^2</f>
        <v>0.509555206698064</v>
      </c>
      <c r="X15" s="3" t="n">
        <f aca="false">V15/C15/(D15)^2</f>
        <v>-0.871306471306471</v>
      </c>
      <c r="Y15" s="2"/>
      <c r="Z15" s="20" t="n">
        <v>0.1178</v>
      </c>
      <c r="AA15" s="20" t="n">
        <v>-0.2243</v>
      </c>
      <c r="AB15" s="18" t="n">
        <f aca="false">Z15/C15/(D15)^2</f>
        <v>0.657526600383743</v>
      </c>
      <c r="AC15" s="3" t="n">
        <f aca="false">AA15/C15/(D15)^2</f>
        <v>-1.25197976626548</v>
      </c>
    </row>
    <row r="16" customFormat="false" ht="12.8" hidden="false" customHeight="false" outlineLevel="0" collapsed="false">
      <c r="A16" s="1" t="s">
        <v>30</v>
      </c>
      <c r="D16" s="3" t="n">
        <v>7.5</v>
      </c>
      <c r="E16" s="2" t="n">
        <v>180</v>
      </c>
      <c r="F16" s="21" t="n">
        <f aca="false">SUM(F3:F15)</f>
        <v>13.5753</v>
      </c>
      <c r="G16" s="21" t="n">
        <f aca="false">SUM(G3:G15)</f>
        <v>0.7094728</v>
      </c>
      <c r="H16" s="4" t="n">
        <f aca="false">F16/(D16^2)</f>
        <v>0.241338666666667</v>
      </c>
      <c r="I16" s="4" t="n">
        <f aca="false">G16/(D16^2)</f>
        <v>0.0126128497777778</v>
      </c>
      <c r="J16" s="2" t="n">
        <v>225</v>
      </c>
      <c r="K16" s="21" t="n">
        <f aca="false">SUM(K3:K15)</f>
        <v>10.43403</v>
      </c>
      <c r="L16" s="21" t="n">
        <f aca="false">SUM(L3:L15)</f>
        <v>1.57274</v>
      </c>
      <c r="M16" s="4" t="n">
        <f aca="false">K16/(D16^2)</f>
        <v>0.185493866666667</v>
      </c>
      <c r="N16" s="4" t="n">
        <f aca="false">L16/(D16^2)</f>
        <v>0.0279598222222222</v>
      </c>
      <c r="O16" s="2" t="n">
        <v>270</v>
      </c>
      <c r="P16" s="22" t="n">
        <f aca="false">SUM(P3:P15)</f>
        <v>7.162862</v>
      </c>
      <c r="Q16" s="22" t="n">
        <f aca="false">SUM(Q3:Q15)</f>
        <v>0.14477</v>
      </c>
      <c r="R16" s="4" t="n">
        <f aca="false">P16/(D16^2)</f>
        <v>0.127339768888889</v>
      </c>
      <c r="S16" s="4" t="n">
        <f aca="false">Q16/(D16^2)</f>
        <v>0.00257368888888889</v>
      </c>
      <c r="T16" s="2" t="n">
        <v>315</v>
      </c>
      <c r="U16" s="22" t="n">
        <f aca="false">SUM(U3:U15)</f>
        <v>10.78431</v>
      </c>
      <c r="V16" s="22" t="n">
        <f aca="false">SUM(V3:V15)</f>
        <v>1.21223</v>
      </c>
      <c r="W16" s="4" t="n">
        <f aca="false">U16/(D16^2)</f>
        <v>0.191721066666667</v>
      </c>
      <c r="X16" s="4" t="n">
        <f aca="false">V16/(D16^2)</f>
        <v>0.0215507555555556</v>
      </c>
      <c r="Y16" s="1" t="n">
        <v>360</v>
      </c>
      <c r="Z16" s="22" t="n">
        <f aca="false">SUM(Z3:Z15)</f>
        <v>12.3354</v>
      </c>
      <c r="AA16" s="22" t="n">
        <f aca="false">SUM(AA3:AA15)</f>
        <v>3.41967</v>
      </c>
      <c r="AB16" s="4" t="n">
        <f aca="false">Z16/(D16^2)</f>
        <v>0.219296</v>
      </c>
      <c r="AC16" s="4" t="n">
        <f aca="false">AA16/(D16^2)</f>
        <v>0.0607941333333333</v>
      </c>
    </row>
    <row r="17" customFormat="false" ht="12.8" hidden="false" customHeight="false" outlineLevel="0" collapsed="false">
      <c r="E17" s="2"/>
      <c r="F17" s="23"/>
      <c r="G17" s="23"/>
      <c r="H17" s="4"/>
      <c r="I17" s="3"/>
    </row>
    <row r="25" customFormat="false" ht="12.8" hidden="false" customHeight="false" outlineLevel="0" collapsed="false">
      <c r="Y25" s="19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A21" activeCellId="0" sqref="AA21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0.9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10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43</v>
      </c>
      <c r="B1" s="6" t="s">
        <v>1</v>
      </c>
      <c r="C1" s="7"/>
      <c r="D1" s="8" t="s">
        <v>2</v>
      </c>
      <c r="E1" s="9" t="s">
        <v>37</v>
      </c>
      <c r="F1" s="9"/>
      <c r="G1" s="9"/>
      <c r="H1" s="9"/>
      <c r="I1" s="9"/>
      <c r="J1" s="10" t="s">
        <v>38</v>
      </c>
      <c r="K1" s="10"/>
      <c r="L1" s="10"/>
      <c r="M1" s="10"/>
      <c r="N1" s="10"/>
      <c r="O1" s="10" t="s">
        <v>39</v>
      </c>
      <c r="P1" s="10"/>
      <c r="Q1" s="10"/>
      <c r="R1" s="10"/>
      <c r="S1" s="10"/>
      <c r="T1" s="10" t="s">
        <v>44</v>
      </c>
      <c r="U1" s="10"/>
      <c r="V1" s="10"/>
      <c r="W1" s="10"/>
      <c r="X1" s="10"/>
      <c r="Y1" s="10" t="s">
        <v>41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9" t="s">
        <v>42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42</v>
      </c>
      <c r="K2" s="16" t="s">
        <v>13</v>
      </c>
      <c r="L2" s="17" t="s">
        <v>14</v>
      </c>
      <c r="M2" s="18" t="s">
        <v>15</v>
      </c>
      <c r="N2" s="4" t="s">
        <v>16</v>
      </c>
      <c r="O2" s="19" t="s">
        <v>42</v>
      </c>
      <c r="P2" s="16" t="s">
        <v>13</v>
      </c>
      <c r="Q2" s="17" t="s">
        <v>14</v>
      </c>
      <c r="R2" s="18" t="s">
        <v>15</v>
      </c>
      <c r="S2" s="4" t="s">
        <v>16</v>
      </c>
      <c r="T2" s="19" t="s">
        <v>42</v>
      </c>
      <c r="U2" s="16" t="s">
        <v>13</v>
      </c>
      <c r="V2" s="17" t="s">
        <v>14</v>
      </c>
      <c r="W2" s="18" t="s">
        <v>15</v>
      </c>
      <c r="X2" s="4" t="s">
        <v>16</v>
      </c>
      <c r="Y2" s="19" t="s">
        <v>42</v>
      </c>
      <c r="Z2" s="16" t="s">
        <v>13</v>
      </c>
      <c r="AA2" s="17" t="s">
        <v>14</v>
      </c>
      <c r="AB2" s="18" t="s">
        <v>15</v>
      </c>
      <c r="AC2" s="4" t="s">
        <v>16</v>
      </c>
    </row>
    <row r="3" customFormat="false" ht="12.8" hidden="false" customHeight="false" outlineLevel="0" collapsed="false">
      <c r="A3" s="1" t="s">
        <v>17</v>
      </c>
      <c r="B3" s="2" t="n">
        <v>0.0429</v>
      </c>
      <c r="C3" s="18" t="n">
        <f aca="false">B3*1.225/2</f>
        <v>0.02627625</v>
      </c>
      <c r="D3" s="3" t="n">
        <v>7.5</v>
      </c>
      <c r="E3" s="2"/>
      <c r="F3" s="20" t="n">
        <v>1.176</v>
      </c>
      <c r="G3" s="20" t="n">
        <v>0.9099</v>
      </c>
      <c r="H3" s="18" t="n">
        <f aca="false">F3/C3/(D3)^2</f>
        <v>0.795648795648796</v>
      </c>
      <c r="I3" s="4" t="n">
        <f aca="false">G3/C3/(D3)^2</f>
        <v>0.615612958470101</v>
      </c>
      <c r="K3" s="20" t="n">
        <v>1.14</v>
      </c>
      <c r="L3" s="20" t="n">
        <v>0.9039</v>
      </c>
      <c r="M3" s="18" t="n">
        <f aca="false">K3/C3/(D3)^2</f>
        <v>0.771292199863628</v>
      </c>
      <c r="N3" s="3" t="n">
        <f aca="false">L3/C3/(D3)^2</f>
        <v>0.61155352583924</v>
      </c>
      <c r="P3" s="20" t="n">
        <v>1.091</v>
      </c>
      <c r="Q3" s="20" t="n">
        <v>0.8259</v>
      </c>
      <c r="R3" s="18" t="n">
        <f aca="false">P3/C3/(D3)^2</f>
        <v>0.738140166711595</v>
      </c>
      <c r="S3" s="3" t="n">
        <f aca="false">Q3/C3/(D3)^2</f>
        <v>0.558780901638044</v>
      </c>
      <c r="U3" s="20" t="n">
        <v>1.108</v>
      </c>
      <c r="V3" s="20" t="n">
        <v>0.8682</v>
      </c>
      <c r="W3" s="18" t="n">
        <f aca="false">U3/C3/(D3)^2</f>
        <v>0.749641892499035</v>
      </c>
      <c r="X3" s="3" t="n">
        <f aca="false">V3/C3/(D3)^2</f>
        <v>0.587399901685616</v>
      </c>
      <c r="Y3" s="2"/>
      <c r="Z3" s="20" t="n">
        <v>1.099</v>
      </c>
      <c r="AA3" s="20" t="n">
        <v>0.8479</v>
      </c>
      <c r="AB3" s="18" t="n">
        <f aca="false">Z3/C3/(D3)^2</f>
        <v>0.743552743552743</v>
      </c>
      <c r="AC3" s="3" t="n">
        <f aca="false">AA3/C3/(D3)^2</f>
        <v>0.573665487951202</v>
      </c>
    </row>
    <row r="4" customFormat="false" ht="12.8" hidden="false" customHeight="false" outlineLevel="0" collapsed="false">
      <c r="A4" s="1" t="s">
        <v>18</v>
      </c>
      <c r="B4" s="2" t="n">
        <v>0.153</v>
      </c>
      <c r="C4" s="18" t="n">
        <f aca="false">B4*1.225/2</f>
        <v>0.0937125</v>
      </c>
      <c r="D4" s="3" t="n">
        <v>7.5</v>
      </c>
      <c r="E4" s="2"/>
      <c r="F4" s="20" t="n">
        <v>4.616</v>
      </c>
      <c r="G4" s="20" t="n">
        <v>1.01</v>
      </c>
      <c r="H4" s="18" t="n">
        <f aca="false">F4/C4/(D4)^2</f>
        <v>0.875680642627421</v>
      </c>
      <c r="I4" s="4" t="n">
        <f aca="false">G4/C4/(D4)^2</f>
        <v>0.191602566952707</v>
      </c>
      <c r="K4" s="20" t="n">
        <v>3.807</v>
      </c>
      <c r="L4" s="20" t="n">
        <v>0.2496</v>
      </c>
      <c r="M4" s="18" t="n">
        <f aca="false">K4/C4/(D4)^2</f>
        <v>0.722208883553421</v>
      </c>
      <c r="N4" s="3" t="n">
        <f aca="false">L4/C4/(D4)^2</f>
        <v>0.0473504957538571</v>
      </c>
      <c r="P4" s="20" t="n">
        <v>3.079</v>
      </c>
      <c r="Q4" s="20" t="n">
        <v>0.2669</v>
      </c>
      <c r="R4" s="18" t="n">
        <f aca="false">P4/C4/(D4)^2</f>
        <v>0.584103270938005</v>
      </c>
      <c r="S4" s="3" t="n">
        <f aca="false">Q4/C4/(D4)^2</f>
        <v>0.0506324011085916</v>
      </c>
      <c r="U4" s="20" t="n">
        <v>4.021</v>
      </c>
      <c r="V4" s="20" t="n">
        <v>0.2543</v>
      </c>
      <c r="W4" s="18" t="n">
        <f aca="false">U4/C4/(D4)^2</f>
        <v>0.762805863085975</v>
      </c>
      <c r="X4" s="3" t="n">
        <f aca="false">V4/C4/(D4)^2</f>
        <v>0.0482421116594786</v>
      </c>
      <c r="Y4" s="2"/>
      <c r="Z4" s="20" t="n">
        <v>4.636</v>
      </c>
      <c r="AA4" s="20" t="n">
        <v>1.357</v>
      </c>
      <c r="AB4" s="18" t="n">
        <f aca="false">Z4/C4/(D4)^2</f>
        <v>0.879474752864109</v>
      </c>
      <c r="AC4" s="3" t="n">
        <f aca="false">AA4/C4/(D4)^2</f>
        <v>0.257430379559231</v>
      </c>
    </row>
    <row r="5" customFormat="false" ht="12.8" hidden="false" customHeight="false" outlineLevel="0" collapsed="false">
      <c r="A5" s="1" t="s">
        <v>19</v>
      </c>
      <c r="B5" s="2" t="n">
        <v>0.0484</v>
      </c>
      <c r="C5" s="18" t="n">
        <f aca="false">B5*1.225/2</f>
        <v>0.029645</v>
      </c>
      <c r="D5" s="3" t="n">
        <v>7.5</v>
      </c>
      <c r="E5" s="2"/>
      <c r="F5" s="20" t="n">
        <v>0.9426</v>
      </c>
      <c r="G5" s="20" t="n">
        <v>-0.5697</v>
      </c>
      <c r="H5" s="18" t="n">
        <f aca="false">F5/C5/(D5)^2</f>
        <v>0.56526676786417</v>
      </c>
      <c r="I5" s="4" t="n">
        <f aca="false">G5/C5/(D5)^2</f>
        <v>-0.341642772811604</v>
      </c>
      <c r="K5" s="20" t="n">
        <v>0.5877</v>
      </c>
      <c r="L5" s="20" t="n">
        <v>-0.1312</v>
      </c>
      <c r="M5" s="18" t="n">
        <f aca="false">K5/C5/(D5)^2</f>
        <v>0.352437173216394</v>
      </c>
      <c r="N5" s="3" t="n">
        <f aca="false">L5/C5/(D5)^2</f>
        <v>-0.0786791851726917</v>
      </c>
      <c r="P5" s="20" t="n">
        <v>0.6188</v>
      </c>
      <c r="Q5" s="20" t="n">
        <v>-0.3342</v>
      </c>
      <c r="R5" s="18" t="n">
        <f aca="false">P5/C5/(D5)^2</f>
        <v>0.371087498360226</v>
      </c>
      <c r="S5" s="3" t="n">
        <f aca="false">Q5/C5/(D5)^2</f>
        <v>-0.200416034182268</v>
      </c>
      <c r="U5" s="20" t="n">
        <v>0.7132</v>
      </c>
      <c r="V5" s="20" t="n">
        <v>-0.1447</v>
      </c>
      <c r="W5" s="18" t="n">
        <f aca="false">U5/C5/(D5)^2</f>
        <v>0.427698131594235</v>
      </c>
      <c r="X5" s="3" t="n">
        <f aca="false">V5/C5/(D5)^2</f>
        <v>-0.0867749854762842</v>
      </c>
      <c r="Y5" s="2"/>
      <c r="Z5" s="20" t="n">
        <v>0.9888</v>
      </c>
      <c r="AA5" s="20" t="n">
        <v>-0.5713</v>
      </c>
      <c r="AB5" s="18" t="n">
        <f aca="false">Z5/C5/(D5)^2</f>
        <v>0.592972395569798</v>
      </c>
      <c r="AC5" s="3" t="n">
        <f aca="false">AA5/C5/(D5)^2</f>
        <v>-0.342602275069807</v>
      </c>
    </row>
    <row r="6" customFormat="false" ht="12.65" hidden="false" customHeight="true" outlineLevel="0" collapsed="false">
      <c r="A6" s="1" t="s">
        <v>20</v>
      </c>
      <c r="B6" s="2" t="n">
        <v>0.0136</v>
      </c>
      <c r="C6" s="18" t="n">
        <f aca="false">B6*1.225/2</f>
        <v>0.00833</v>
      </c>
      <c r="D6" s="3" t="n">
        <v>7.5</v>
      </c>
      <c r="E6" s="2"/>
      <c r="F6" s="20" t="n">
        <v>0.5164</v>
      </c>
      <c r="G6" s="20" t="n">
        <v>0.06938</v>
      </c>
      <c r="H6" s="18" t="n">
        <f aca="false">F6/C6/(D6)^2</f>
        <v>1.10209417100173</v>
      </c>
      <c r="I6" s="4" t="n">
        <f aca="false">G6/C6/(D6)^2</f>
        <v>0.148069894624517</v>
      </c>
      <c r="K6" s="20" t="n">
        <v>0.3962</v>
      </c>
      <c r="L6" s="20" t="n">
        <v>0.1042</v>
      </c>
      <c r="M6" s="18" t="n">
        <f aca="false">K6/C6/(D6)^2</f>
        <v>0.845564892623716</v>
      </c>
      <c r="N6" s="3" t="n">
        <f aca="false">L6/C6/(D6)^2</f>
        <v>0.222382286247832</v>
      </c>
      <c r="P6" s="20" t="n">
        <v>0.1578</v>
      </c>
      <c r="Q6" s="20" t="n">
        <v>-0.09358</v>
      </c>
      <c r="R6" s="18" t="n">
        <f aca="false">P6/C6/(D6)^2</f>
        <v>0.336774709883954</v>
      </c>
      <c r="S6" s="3" t="n">
        <f aca="false">Q6/C6/(D6)^2</f>
        <v>-0.199717220221422</v>
      </c>
      <c r="U6" s="20" t="n">
        <v>0.1031</v>
      </c>
      <c r="V6" s="20" t="n">
        <v>0.0949</v>
      </c>
      <c r="W6" s="18" t="n">
        <f aca="false">U6/C6/(D6)^2</f>
        <v>0.220034680538882</v>
      </c>
      <c r="X6" s="3" t="n">
        <f aca="false">V6/C6/(D6)^2</f>
        <v>0.202534347072162</v>
      </c>
      <c r="Y6" s="2"/>
      <c r="Z6" s="20" t="n">
        <v>0.4518</v>
      </c>
      <c r="AA6" s="20" t="n">
        <v>0.2927</v>
      </c>
      <c r="AB6" s="18" t="n">
        <f aca="false">Z6/C6/(D6)^2</f>
        <v>0.964225690276111</v>
      </c>
      <c r="AC6" s="3" t="n">
        <f aca="false">AA6/C6/(D6)^2</f>
        <v>0.624676537281579</v>
      </c>
    </row>
    <row r="7" customFormat="false" ht="12.8" hidden="false" customHeight="false" outlineLevel="0" collapsed="false">
      <c r="A7" s="1" t="s">
        <v>21</v>
      </c>
      <c r="B7" s="2" t="n">
        <v>0.0136</v>
      </c>
      <c r="C7" s="18" t="n">
        <f aca="false">B7*1.225/2</f>
        <v>0.00833</v>
      </c>
      <c r="D7" s="3" t="n">
        <v>7.5</v>
      </c>
      <c r="E7" s="2"/>
      <c r="F7" s="20" t="n">
        <v>0.4374</v>
      </c>
      <c r="G7" s="20" t="n">
        <v>0.04302</v>
      </c>
      <c r="H7" s="18" t="n">
        <f aca="false">F7/C7/(D7)^2</f>
        <v>0.933493397358943</v>
      </c>
      <c r="I7" s="4" t="n">
        <f aca="false">G7/C7/(D7)^2</f>
        <v>0.091812725090036</v>
      </c>
      <c r="K7" s="20" t="n">
        <v>0.5012</v>
      </c>
      <c r="L7" s="20" t="n">
        <v>-0.08594</v>
      </c>
      <c r="M7" s="18" t="n">
        <f aca="false">K7/C7/(D7)^2</f>
        <v>1.06965452847806</v>
      </c>
      <c r="N7" s="3" t="n">
        <f aca="false">L7/C7/(D7)^2</f>
        <v>-0.183412031479258</v>
      </c>
      <c r="P7" s="20" t="n">
        <v>0.1883</v>
      </c>
      <c r="Q7" s="20" t="n">
        <v>-0.1371</v>
      </c>
      <c r="R7" s="18" t="n">
        <f aca="false">P7/C7/(D7)^2</f>
        <v>0.401867413632119</v>
      </c>
      <c r="S7" s="3" t="n">
        <f aca="false">Q7/C7/(D7)^2</f>
        <v>-0.292597038815526</v>
      </c>
      <c r="U7" s="20" t="n">
        <v>0.6295</v>
      </c>
      <c r="V7" s="20" t="n">
        <v>0.1721</v>
      </c>
      <c r="W7" s="18" t="n">
        <f aca="false">U7/C7/(D7)^2</f>
        <v>1.34347072162198</v>
      </c>
      <c r="X7" s="3" t="n">
        <f aca="false">V7/C7/(D7)^2</f>
        <v>0.367293584100307</v>
      </c>
      <c r="Y7" s="2"/>
      <c r="Z7" s="20" t="n">
        <v>0.4918</v>
      </c>
      <c r="AA7" s="20" t="n">
        <v>0.3431</v>
      </c>
      <c r="AB7" s="18" t="n">
        <f aca="false">Z7/C7/(D7)^2</f>
        <v>1.04959317060157</v>
      </c>
      <c r="AC7" s="3" t="n">
        <f aca="false">AA7/C7/(D7)^2</f>
        <v>0.732239562491663</v>
      </c>
    </row>
    <row r="8" customFormat="false" ht="12.8" hidden="false" customHeight="false" outlineLevel="0" collapsed="false">
      <c r="A8" s="1" t="s">
        <v>22</v>
      </c>
      <c r="B8" s="2" t="n">
        <v>0.0433</v>
      </c>
      <c r="C8" s="18" t="n">
        <f aca="false">B8*1.225/2</f>
        <v>0.02652125</v>
      </c>
      <c r="D8" s="3" t="n">
        <v>7.5</v>
      </c>
      <c r="E8" s="2"/>
      <c r="F8" s="20" t="n">
        <v>1.261</v>
      </c>
      <c r="G8" s="20" t="n">
        <v>0.02431</v>
      </c>
      <c r="H8" s="18" t="n">
        <f aca="false">F8/C8/(D8)^2</f>
        <v>0.845276062696056</v>
      </c>
      <c r="I8" s="4" t="n">
        <f aca="false">G8/C8/(D8)^2</f>
        <v>0.0162955282189858</v>
      </c>
      <c r="K8" s="20" t="n">
        <v>0.6469</v>
      </c>
      <c r="L8" s="20" t="n">
        <v>0.3815</v>
      </c>
      <c r="M8" s="18" t="n">
        <f aca="false">K8/C8/(D8)^2</f>
        <v>0.433631312417192</v>
      </c>
      <c r="N8" s="3" t="n">
        <f aca="false">L8/C8/(D8)^2</f>
        <v>0.255727849261336</v>
      </c>
      <c r="P8" s="20" t="n">
        <v>0.05616</v>
      </c>
      <c r="Q8" s="20" t="n">
        <v>0.005097</v>
      </c>
      <c r="R8" s="18" t="n">
        <f aca="false">P8/C8/(D8)^2</f>
        <v>0.0376452844417213</v>
      </c>
      <c r="S8" s="3" t="n">
        <f aca="false">Q8/C8/(D8)^2</f>
        <v>0.00341663131765408</v>
      </c>
      <c r="U8" s="20" t="n">
        <v>0.5194</v>
      </c>
      <c r="V8" s="20" t="n">
        <v>0.0189</v>
      </c>
      <c r="W8" s="18" t="n">
        <f aca="false">U8/C8/(D8)^2</f>
        <v>0.348165255324609</v>
      </c>
      <c r="X8" s="3" t="n">
        <f aca="false">V8/C8/(D8)^2</f>
        <v>0.0126690861101947</v>
      </c>
      <c r="Y8" s="2"/>
      <c r="Z8" s="20" t="n">
        <v>0.9567</v>
      </c>
      <c r="AA8" s="20" t="n">
        <v>0.2189</v>
      </c>
      <c r="AB8" s="18" t="n">
        <f aca="false">Z8/C8/(D8)^2</f>
        <v>0.641297073101758</v>
      </c>
      <c r="AC8" s="3" t="n">
        <f aca="false">AA8/C8/(D8)^2</f>
        <v>0.146733489392678</v>
      </c>
    </row>
    <row r="9" customFormat="false" ht="12.8" hidden="false" customHeight="false" outlineLevel="0" collapsed="false">
      <c r="A9" s="1" t="s">
        <v>23</v>
      </c>
      <c r="B9" s="2" t="n">
        <v>0.0433</v>
      </c>
      <c r="C9" s="18" t="n">
        <f aca="false">B9*1.225/2</f>
        <v>0.02652125</v>
      </c>
      <c r="D9" s="3" t="n">
        <v>7.5</v>
      </c>
      <c r="E9" s="2"/>
      <c r="F9" s="20" t="n">
        <v>1.206</v>
      </c>
      <c r="G9" s="20" t="n">
        <v>-0.1391</v>
      </c>
      <c r="H9" s="18" t="n">
        <f aca="false">F9/C9/(D9)^2</f>
        <v>0.808408351793373</v>
      </c>
      <c r="I9" s="4" t="n">
        <f aca="false">G9/C9/(D9)^2</f>
        <v>-0.093241792482967</v>
      </c>
      <c r="K9" s="20" t="n">
        <v>1.359</v>
      </c>
      <c r="L9" s="20" t="n">
        <v>-0.1788</v>
      </c>
      <c r="M9" s="18" t="n">
        <f aca="false">K9/C9/(D9)^2</f>
        <v>0.910967620304472</v>
      </c>
      <c r="N9" s="3" t="n">
        <f aca="false">L9/C9/(D9)^2</f>
        <v>-0.11985357653454</v>
      </c>
      <c r="P9" s="20" t="n">
        <v>1.03</v>
      </c>
      <c r="Q9" s="20" t="n">
        <v>-0.2749</v>
      </c>
      <c r="R9" s="18" t="n">
        <f aca="false">P9/C9/(D9)^2</f>
        <v>0.690431676904788</v>
      </c>
      <c r="S9" s="3" t="n">
        <f aca="false">Q9/C9/(D9)^2</f>
        <v>-0.184271522311773</v>
      </c>
      <c r="U9" s="20" t="n">
        <v>1.529</v>
      </c>
      <c r="V9" s="20" t="n">
        <v>0.3226</v>
      </c>
      <c r="W9" s="18" t="n">
        <f aca="false">U9/C9/(D9)^2</f>
        <v>1.02492236309458</v>
      </c>
      <c r="X9" s="3" t="n">
        <f aca="false">V9/C9/(D9)^2</f>
        <v>0.216245882494645</v>
      </c>
      <c r="Y9" s="2"/>
      <c r="Z9" s="20" t="n">
        <v>0.9047</v>
      </c>
      <c r="AA9" s="20" t="n">
        <v>0.2018</v>
      </c>
      <c r="AB9" s="18" t="n">
        <f aca="false">Z9/C9/(D9)^2</f>
        <v>0.606440328248312</v>
      </c>
      <c r="AC9" s="3" t="n">
        <f aca="false">AA9/C9/(D9)^2</f>
        <v>0.135270982912025</v>
      </c>
    </row>
    <row r="10" customFormat="false" ht="12.8" hidden="false" customHeight="false" outlineLevel="0" collapsed="false">
      <c r="A10" s="1" t="s">
        <v>24</v>
      </c>
      <c r="B10" s="2" t="n">
        <v>0.0247</v>
      </c>
      <c r="C10" s="18" t="n">
        <f aca="false">B10*1.225/2</f>
        <v>0.01512875</v>
      </c>
      <c r="D10" s="3" t="n">
        <v>7.5</v>
      </c>
      <c r="E10" s="2"/>
      <c r="F10" s="20" t="n">
        <v>0.5947</v>
      </c>
      <c r="G10" s="20" t="n">
        <v>0.4684</v>
      </c>
      <c r="H10" s="18" t="n">
        <f aca="false">F10/C10/(D10)^2</f>
        <v>0.698831327402756</v>
      </c>
      <c r="I10" s="4" t="n">
        <f aca="false">G10/C10/(D10)^2</f>
        <v>0.55041633387498</v>
      </c>
      <c r="K10" s="20" t="n">
        <v>0.2615</v>
      </c>
      <c r="L10" s="20" t="n">
        <v>0.3043</v>
      </c>
      <c r="M10" s="18" t="n">
        <f aca="false">K10/C10/(D10)^2</f>
        <v>0.307288367438743</v>
      </c>
      <c r="N10" s="3" t="n">
        <f aca="false">L10/C10/(D10)^2</f>
        <v>0.357582601191624</v>
      </c>
      <c r="P10" s="20" t="n">
        <v>-0.1102</v>
      </c>
      <c r="Q10" s="20" t="n">
        <v>0.02877</v>
      </c>
      <c r="R10" s="18" t="n">
        <f aca="false">P10/C10/(D10)^2</f>
        <v>-0.129495900924472</v>
      </c>
      <c r="S10" s="3" t="n">
        <f aca="false">Q10/C10/(D10)^2</f>
        <v>0.0338075959128591</v>
      </c>
      <c r="U10" s="20" t="n">
        <v>0.2422</v>
      </c>
      <c r="V10" s="20" t="n">
        <v>0.3128</v>
      </c>
      <c r="W10" s="18" t="n">
        <f aca="false">U10/C10/(D10)^2</f>
        <v>0.284608958293169</v>
      </c>
      <c r="X10" s="3" t="n">
        <f aca="false">V10/C10/(D10)^2</f>
        <v>0.367570942007032</v>
      </c>
      <c r="Y10" s="2"/>
      <c r="Z10" s="20" t="n">
        <v>0.5187</v>
      </c>
      <c r="AA10" s="20" t="n">
        <v>0.4154</v>
      </c>
      <c r="AB10" s="18" t="n">
        <f aca="false">Z10/C10/(D10)^2</f>
        <v>0.609523809523809</v>
      </c>
      <c r="AC10" s="3" t="n">
        <f aca="false">AA10/C10/(D10)^2</f>
        <v>0.48813609114361</v>
      </c>
    </row>
    <row r="11" customFormat="false" ht="12.8" hidden="false" customHeight="false" outlineLevel="0" collapsed="false">
      <c r="A11" s="1" t="s">
        <v>25</v>
      </c>
      <c r="B11" s="2" t="n">
        <v>0.0247</v>
      </c>
      <c r="C11" s="18" t="n">
        <f aca="false">B11*1.225/2</f>
        <v>0.01512875</v>
      </c>
      <c r="D11" s="3" t="n">
        <v>7.5</v>
      </c>
      <c r="E11" s="2"/>
      <c r="F11" s="20" t="n">
        <v>0.3983</v>
      </c>
      <c r="G11" s="20" t="n">
        <v>0.3375</v>
      </c>
      <c r="H11" s="18" t="n">
        <f aca="false">F11/C11/(D11)^2</f>
        <v>0.468041899620847</v>
      </c>
      <c r="I11" s="4" t="n">
        <f aca="false">G11/C11/(D11)^2</f>
        <v>0.39659588531769</v>
      </c>
      <c r="K11" s="20" t="n">
        <v>0.4435</v>
      </c>
      <c r="L11" s="20" t="n">
        <v>0.2478</v>
      </c>
      <c r="M11" s="18" t="n">
        <f aca="false">K11/C11/(D11)^2</f>
        <v>0.521156370780431</v>
      </c>
      <c r="N11" s="3" t="n">
        <f aca="false">L11/C11/(D11)^2</f>
        <v>0.291189512242144</v>
      </c>
      <c r="P11" s="20" t="n">
        <v>0.5455</v>
      </c>
      <c r="Q11" s="20" t="n">
        <v>0.1244</v>
      </c>
      <c r="R11" s="18" t="n">
        <f aca="false">P11/C11/(D11)^2</f>
        <v>0.641016460565333</v>
      </c>
      <c r="S11" s="3" t="n">
        <f aca="false">Q11/C11/(D11)^2</f>
        <v>0.146182305580802</v>
      </c>
      <c r="U11" s="20" t="n">
        <v>0.4607</v>
      </c>
      <c r="V11" s="20" t="n">
        <v>0.2094</v>
      </c>
      <c r="W11" s="18" t="n">
        <f aca="false">U11/C11/(D11)^2</f>
        <v>0.54136807219514</v>
      </c>
      <c r="X11" s="3" t="n">
        <f aca="false">V11/C11/(D11)^2</f>
        <v>0.246065713734887</v>
      </c>
      <c r="Y11" s="2"/>
      <c r="Z11" s="20" t="n">
        <v>0.4626</v>
      </c>
      <c r="AA11" s="20" t="n">
        <v>0.3666</v>
      </c>
      <c r="AB11" s="18" t="n">
        <f aca="false">Z11/C11/(D11)^2</f>
        <v>0.543600760142113</v>
      </c>
      <c r="AC11" s="3" t="n">
        <f aca="false">AA11/C11/(D11)^2</f>
        <v>0.430791263873971</v>
      </c>
    </row>
    <row r="12" customFormat="false" ht="12.8" hidden="false" customHeight="false" outlineLevel="0" collapsed="false">
      <c r="A12" s="1" t="s">
        <v>26</v>
      </c>
      <c r="B12" s="2" t="n">
        <v>0.026</v>
      </c>
      <c r="C12" s="18" t="n">
        <f aca="false">B12*1.225/2</f>
        <v>0.015925</v>
      </c>
      <c r="D12" s="3" t="n">
        <v>7.5</v>
      </c>
      <c r="E12" s="2"/>
      <c r="F12" s="20" t="n">
        <v>0.5188</v>
      </c>
      <c r="G12" s="20" t="n">
        <v>0.1361</v>
      </c>
      <c r="H12" s="18" t="n">
        <f aca="false">F12/C12/(D12)^2</f>
        <v>0.579159253444968</v>
      </c>
      <c r="I12" s="4" t="n">
        <f aca="false">G12/C12/(D12)^2</f>
        <v>0.151934414791558</v>
      </c>
      <c r="K12" s="20" t="n">
        <v>0.3325</v>
      </c>
      <c r="L12" s="20" t="n">
        <v>0.05826</v>
      </c>
      <c r="M12" s="18" t="n">
        <f aca="false">K12/C12/(D12)^2</f>
        <v>0.371184371184371</v>
      </c>
      <c r="N12" s="3" t="n">
        <f aca="false">L12/C12/(D12)^2</f>
        <v>0.0650381998953428</v>
      </c>
      <c r="P12" s="20" t="n">
        <v>0.3126</v>
      </c>
      <c r="Q12" s="20" t="n">
        <v>0.03863</v>
      </c>
      <c r="R12" s="18" t="n">
        <f aca="false">P12/C12/(D12)^2</f>
        <v>0.348969126111983</v>
      </c>
      <c r="S12" s="3" t="n">
        <f aca="false">Q12/C12/(D12)^2</f>
        <v>0.0431243676957963</v>
      </c>
      <c r="U12" s="20" t="n">
        <v>0.3381</v>
      </c>
      <c r="V12" s="20" t="n">
        <v>0.06823</v>
      </c>
      <c r="W12" s="18" t="n">
        <f aca="false">U12/C12/(D12)^2</f>
        <v>0.377435897435897</v>
      </c>
      <c r="X12" s="3" t="n">
        <f aca="false">V12/C12/(D12)^2</f>
        <v>0.0761681493110064</v>
      </c>
      <c r="Y12" s="2"/>
      <c r="Z12" s="20" t="n">
        <v>0.585</v>
      </c>
      <c r="AA12" s="20" t="n">
        <v>0.1868</v>
      </c>
      <c r="AB12" s="18" t="n">
        <f aca="false">Z12/C12/(D12)^2</f>
        <v>0.653061224489796</v>
      </c>
      <c r="AC12" s="3" t="n">
        <f aca="false">AA12/C12/(D12)^2</f>
        <v>0.20853305424734</v>
      </c>
    </row>
    <row r="13" customFormat="false" ht="12.8" hidden="false" customHeight="false" outlineLevel="0" collapsed="false">
      <c r="A13" s="1" t="s">
        <v>27</v>
      </c>
      <c r="B13" s="2" t="n">
        <v>0.026</v>
      </c>
      <c r="C13" s="18" t="n">
        <f aca="false">B13*1.225/2</f>
        <v>0.015925</v>
      </c>
      <c r="D13" s="3" t="n">
        <v>7.5</v>
      </c>
      <c r="E13" s="2"/>
      <c r="F13" s="20" t="n">
        <v>0.5</v>
      </c>
      <c r="G13" s="20" t="n">
        <v>0.1446</v>
      </c>
      <c r="H13" s="18" t="n">
        <f aca="false">F13/C13/(D13)^2</f>
        <v>0.558171986743415</v>
      </c>
      <c r="I13" s="4" t="n">
        <f aca="false">G13/C13/(D13)^2</f>
        <v>0.161423338566196</v>
      </c>
      <c r="K13" s="20" t="n">
        <v>0.604</v>
      </c>
      <c r="L13" s="20" t="n">
        <v>0.1878</v>
      </c>
      <c r="M13" s="18" t="n">
        <f aca="false">K13/C13/(D13)^2</f>
        <v>0.674271759986046</v>
      </c>
      <c r="N13" s="3" t="n">
        <f aca="false">L13/C13/(D13)^2</f>
        <v>0.209649398220827</v>
      </c>
      <c r="P13" s="20" t="n">
        <v>0.4466</v>
      </c>
      <c r="Q13" s="20" t="n">
        <v>0.1267</v>
      </c>
      <c r="R13" s="18" t="n">
        <f aca="false">P13/C13/(D13)^2</f>
        <v>0.498559218559219</v>
      </c>
      <c r="S13" s="3" t="n">
        <f aca="false">Q13/C13/(D13)^2</f>
        <v>0.141440781440781</v>
      </c>
      <c r="U13" s="20" t="n">
        <v>0.5339</v>
      </c>
      <c r="V13" s="20" t="n">
        <v>0.1594</v>
      </c>
      <c r="W13" s="18" t="n">
        <f aca="false">U13/C13/(D13)^2</f>
        <v>0.596016047444619</v>
      </c>
      <c r="X13" s="3" t="n">
        <f aca="false">V13/C13/(D13)^2</f>
        <v>0.177945229373801</v>
      </c>
      <c r="Y13" s="2"/>
      <c r="Z13" s="20" t="n">
        <v>0.5268</v>
      </c>
      <c r="AA13" s="20" t="n">
        <v>0.1649</v>
      </c>
      <c r="AB13" s="18" t="n">
        <f aca="false">Z13/C13/(D13)^2</f>
        <v>0.588090005232862</v>
      </c>
      <c r="AC13" s="3" t="n">
        <f aca="false">AA13/C13/(D13)^2</f>
        <v>0.184085121227978</v>
      </c>
    </row>
    <row r="14" customFormat="false" ht="12.8" hidden="false" customHeight="false" outlineLevel="0" collapsed="false">
      <c r="A14" s="1" t="s">
        <v>28</v>
      </c>
      <c r="B14" s="2" t="n">
        <v>0.0052</v>
      </c>
      <c r="C14" s="18" t="n">
        <f aca="false">B14*1.225/2</f>
        <v>0.003185</v>
      </c>
      <c r="D14" s="3" t="n">
        <v>7.5</v>
      </c>
      <c r="E14" s="2"/>
      <c r="F14" s="20" t="n">
        <v>0.1264</v>
      </c>
      <c r="G14" s="20" t="n">
        <v>-0.1006</v>
      </c>
      <c r="H14" s="18" t="n">
        <f aca="false">F14/C14/(D14)^2</f>
        <v>0.705529391243677</v>
      </c>
      <c r="I14" s="4" t="n">
        <f aca="false">G14/C14/(D14)^2</f>
        <v>-0.561521018663876</v>
      </c>
      <c r="K14" s="20" t="n">
        <v>0.09296</v>
      </c>
      <c r="L14" s="20" t="n">
        <v>-0.08137</v>
      </c>
      <c r="M14" s="18" t="n">
        <f aca="false">K14/C14/(D14)^2</f>
        <v>0.518876678876679</v>
      </c>
      <c r="N14" s="3" t="n">
        <f aca="false">L14/C14/(D14)^2</f>
        <v>-0.454184545613117</v>
      </c>
      <c r="P14" s="20" t="n">
        <v>0.02795</v>
      </c>
      <c r="Q14" s="20" t="n">
        <v>-0.06962</v>
      </c>
      <c r="R14" s="18" t="n">
        <f aca="false">P14/C14/(D14)^2</f>
        <v>0.156009070294785</v>
      </c>
      <c r="S14" s="3" t="n">
        <f aca="false">Q14/C14/(D14)^2</f>
        <v>-0.388599337170766</v>
      </c>
      <c r="U14" s="20" t="n">
        <v>0.08913</v>
      </c>
      <c r="V14" s="20" t="n">
        <v>-0.06695</v>
      </c>
      <c r="W14" s="18" t="n">
        <f aca="false">U14/C14/(D14)^2</f>
        <v>0.497498691784406</v>
      </c>
      <c r="X14" s="3" t="n">
        <f aca="false">V14/C14/(D14)^2</f>
        <v>-0.373696145124717</v>
      </c>
      <c r="Y14" s="2"/>
      <c r="Z14" s="20" t="n">
        <v>0.123</v>
      </c>
      <c r="AA14" s="20" t="n">
        <v>-0.0935</v>
      </c>
      <c r="AB14" s="18" t="n">
        <f aca="false">Z14/C14/(D14)^2</f>
        <v>0.686551543694401</v>
      </c>
      <c r="AC14" s="3" t="n">
        <f aca="false">AA14/C14/(D14)^2</f>
        <v>-0.521890807605093</v>
      </c>
    </row>
    <row r="15" customFormat="false" ht="12.8" hidden="false" customHeight="false" outlineLevel="0" collapsed="false">
      <c r="A15" s="1" t="s">
        <v>29</v>
      </c>
      <c r="B15" s="2" t="n">
        <v>0.0052</v>
      </c>
      <c r="C15" s="18" t="n">
        <f aca="false">B15*1.225/2</f>
        <v>0.003185</v>
      </c>
      <c r="D15" s="3" t="n">
        <v>7.5</v>
      </c>
      <c r="E15" s="2"/>
      <c r="F15" s="20" t="n">
        <v>0.1137</v>
      </c>
      <c r="G15" s="20" t="n">
        <v>-0.08594</v>
      </c>
      <c r="H15" s="18" t="n">
        <f aca="false">F15/C15/(D15)^2</f>
        <v>0.634641548927263</v>
      </c>
      <c r="I15" s="4" t="n">
        <f aca="false">G15/C15/(D15)^2</f>
        <v>-0.479693005407291</v>
      </c>
      <c r="K15" s="20" t="n">
        <v>0.1336</v>
      </c>
      <c r="L15" s="20" t="n">
        <v>-0.08157</v>
      </c>
      <c r="M15" s="18" t="n">
        <f aca="false">K15/C15/(D15)^2</f>
        <v>0.745717774289203</v>
      </c>
      <c r="N15" s="3" t="n">
        <f aca="false">L15/C15/(D15)^2</f>
        <v>-0.455300889586604</v>
      </c>
      <c r="P15" s="20" t="n">
        <v>0.103</v>
      </c>
      <c r="Q15" s="20" t="n">
        <v>-0.08134</v>
      </c>
      <c r="R15" s="18" t="n">
        <f aca="false">P15/C15/(D15)^2</f>
        <v>0.574917146345718</v>
      </c>
      <c r="S15" s="3" t="n">
        <f aca="false">Q15/C15/(D15)^2</f>
        <v>-0.454017094017094</v>
      </c>
      <c r="U15" s="20" t="n">
        <v>0.1178</v>
      </c>
      <c r="V15" s="20" t="n">
        <v>-0.08142</v>
      </c>
      <c r="W15" s="18" t="n">
        <f aca="false">U15/C15/(D15)^2</f>
        <v>0.657526600383743</v>
      </c>
      <c r="X15" s="3" t="n">
        <f aca="false">V15/C15/(D15)^2</f>
        <v>-0.454463631606489</v>
      </c>
      <c r="Y15" s="2"/>
      <c r="Z15" s="20" t="n">
        <v>0.1185</v>
      </c>
      <c r="AA15" s="20" t="n">
        <v>-0.09533</v>
      </c>
      <c r="AB15" s="18" t="n">
        <f aca="false">Z15/C15/(D15)^2</f>
        <v>0.661433804290947</v>
      </c>
      <c r="AC15" s="3" t="n">
        <f aca="false">AA15/C15/(D15)^2</f>
        <v>-0.532105354962498</v>
      </c>
    </row>
    <row r="16" customFormat="false" ht="12.8" hidden="false" customHeight="false" outlineLevel="0" collapsed="false">
      <c r="A16" s="1" t="s">
        <v>30</v>
      </c>
      <c r="D16" s="3" t="n">
        <v>7.5</v>
      </c>
      <c r="E16" s="2" t="n">
        <v>180</v>
      </c>
      <c r="F16" s="22" t="n">
        <f aca="false">SUM(F3:F15)</f>
        <v>12.4073</v>
      </c>
      <c r="G16" s="22" t="n">
        <f aca="false">SUM(G3:G15)</f>
        <v>2.24787</v>
      </c>
      <c r="H16" s="4" t="n">
        <f aca="false">F16/(D16^2)</f>
        <v>0.220574222222222</v>
      </c>
      <c r="I16" s="4" t="n">
        <f aca="false">G16/(D16^2)</f>
        <v>0.0399621333333333</v>
      </c>
      <c r="J16" s="2" t="n">
        <v>225</v>
      </c>
      <c r="K16" s="21" t="n">
        <f aca="false">SUM(K3:K15)</f>
        <v>10.30606</v>
      </c>
      <c r="L16" s="21" t="n">
        <f aca="false">SUM(L3:L15)</f>
        <v>1.87848</v>
      </c>
      <c r="M16" s="4" t="n">
        <f aca="false">K16/(D16^2)</f>
        <v>0.183218844444444</v>
      </c>
      <c r="N16" s="4" t="n">
        <f aca="false">L16/(D16^2)</f>
        <v>0.0333952</v>
      </c>
      <c r="O16" s="2" t="n">
        <v>270</v>
      </c>
      <c r="P16" s="22" t="n">
        <f aca="false">SUM(P3:P15)</f>
        <v>7.54651</v>
      </c>
      <c r="Q16" s="22" t="n">
        <f aca="false">SUM(Q3:Q15)</f>
        <v>0.425657</v>
      </c>
      <c r="R16" s="4" t="n">
        <f aca="false">P16/(D16^2)</f>
        <v>0.134160177777778</v>
      </c>
      <c r="S16" s="4" t="n">
        <f aca="false">Q16/(D16^2)</f>
        <v>0.00756723555555556</v>
      </c>
      <c r="T16" s="2" t="n">
        <v>315</v>
      </c>
      <c r="U16" s="22" t="n">
        <f aca="false">SUM(U3:U15)</f>
        <v>10.40503</v>
      </c>
      <c r="V16" s="22" t="n">
        <f aca="false">SUM(V3:V15)</f>
        <v>2.18776</v>
      </c>
      <c r="W16" s="4" t="n">
        <f aca="false">U16/(D16^2)</f>
        <v>0.184978311111111</v>
      </c>
      <c r="X16" s="4" t="n">
        <f aca="false">V16/(D16^2)</f>
        <v>0.0388935111111111</v>
      </c>
      <c r="Y16" s="1" t="n">
        <v>360</v>
      </c>
      <c r="Z16" s="22" t="n">
        <f aca="false">SUM(Z3:Z15)</f>
        <v>11.8634</v>
      </c>
      <c r="AA16" s="22" t="n">
        <f aca="false">SUM(AA3:AA15)</f>
        <v>3.63497</v>
      </c>
      <c r="AB16" s="4" t="n">
        <f aca="false">Z16/(D16^2)</f>
        <v>0.210904888888889</v>
      </c>
      <c r="AC16" s="4" t="n">
        <f aca="false">AA16/(D16^2)</f>
        <v>0.0646216888888889</v>
      </c>
    </row>
    <row r="17" customFormat="false" ht="12.8" hidden="false" customHeight="false" outlineLevel="0" collapsed="false">
      <c r="E17" s="2"/>
      <c r="F17" s="23"/>
      <c r="G17" s="23"/>
      <c r="H17" s="4"/>
      <c r="I17" s="3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28" activeCellId="0" sqref="AA28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14.03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1.5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7.36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45</v>
      </c>
      <c r="B1" s="6" t="s">
        <v>1</v>
      </c>
      <c r="C1" s="7"/>
      <c r="D1" s="8" t="s">
        <v>2</v>
      </c>
      <c r="E1" s="9" t="s">
        <v>37</v>
      </c>
      <c r="F1" s="9"/>
      <c r="G1" s="9"/>
      <c r="H1" s="9"/>
      <c r="I1" s="9"/>
      <c r="J1" s="10" t="s">
        <v>38</v>
      </c>
      <c r="K1" s="10"/>
      <c r="L1" s="10"/>
      <c r="M1" s="10"/>
      <c r="N1" s="10"/>
      <c r="O1" s="10" t="s">
        <v>39</v>
      </c>
      <c r="P1" s="10"/>
      <c r="Q1" s="10"/>
      <c r="R1" s="10"/>
      <c r="S1" s="10"/>
      <c r="T1" s="10" t="s">
        <v>44</v>
      </c>
      <c r="U1" s="10"/>
      <c r="V1" s="10"/>
      <c r="W1" s="10"/>
      <c r="X1" s="10"/>
      <c r="Y1" s="10" t="s">
        <v>41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9" t="s">
        <v>42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42</v>
      </c>
      <c r="K2" s="16" t="s">
        <v>13</v>
      </c>
      <c r="L2" s="17" t="s">
        <v>14</v>
      </c>
      <c r="M2" s="18" t="s">
        <v>15</v>
      </c>
      <c r="N2" s="4" t="s">
        <v>16</v>
      </c>
      <c r="O2" s="19" t="s">
        <v>42</v>
      </c>
      <c r="P2" s="16" t="s">
        <v>13</v>
      </c>
      <c r="Q2" s="17" t="s">
        <v>14</v>
      </c>
      <c r="R2" s="18" t="s">
        <v>15</v>
      </c>
      <c r="S2" s="4" t="s">
        <v>16</v>
      </c>
      <c r="T2" s="19" t="s">
        <v>46</v>
      </c>
      <c r="U2" s="16" t="s">
        <v>13</v>
      </c>
      <c r="V2" s="17" t="s">
        <v>14</v>
      </c>
      <c r="W2" s="18" t="s">
        <v>15</v>
      </c>
      <c r="X2" s="4" t="s">
        <v>16</v>
      </c>
      <c r="Y2" s="19" t="s">
        <v>46</v>
      </c>
      <c r="Z2" s="16" t="s">
        <v>13</v>
      </c>
      <c r="AA2" s="17" t="s">
        <v>14</v>
      </c>
      <c r="AB2" s="18" t="s">
        <v>15</v>
      </c>
      <c r="AC2" s="4" t="s">
        <v>16</v>
      </c>
    </row>
    <row r="3" customFormat="false" ht="12.8" hidden="false" customHeight="false" outlineLevel="0" collapsed="false">
      <c r="A3" s="1" t="s">
        <v>17</v>
      </c>
      <c r="B3" s="2" t="n">
        <v>0.0429</v>
      </c>
      <c r="C3" s="18" t="n">
        <f aca="false">B3*1.225/2</f>
        <v>0.02627625</v>
      </c>
      <c r="D3" s="3" t="n">
        <v>7.5</v>
      </c>
      <c r="E3" s="2"/>
      <c r="F3" s="20" t="n">
        <v>0.2311</v>
      </c>
      <c r="G3" s="20" t="n">
        <v>0.3194</v>
      </c>
      <c r="H3" s="18" t="n">
        <f aca="false">F3/C3/(D3)^2</f>
        <v>0.156355813498671</v>
      </c>
      <c r="I3" s="4" t="n">
        <f aca="false">G3/C3/(D3)^2</f>
        <v>0.216097130382845</v>
      </c>
      <c r="K3" s="20" t="n">
        <v>0.3598</v>
      </c>
      <c r="L3" s="20" t="n">
        <v>0.4216</v>
      </c>
      <c r="M3" s="18" t="n">
        <f aca="false">K3/C3/(D3)^2</f>
        <v>0.243430643430643</v>
      </c>
      <c r="N3" s="3" t="n">
        <f aca="false">L3/C3/(D3)^2</f>
        <v>0.285242799528514</v>
      </c>
      <c r="P3" s="20" t="n">
        <v>0.5067</v>
      </c>
      <c r="Q3" s="20" t="n">
        <v>0.3795</v>
      </c>
      <c r="R3" s="18" t="n">
        <f aca="false">P3/C3/(D3)^2</f>
        <v>0.342819085676229</v>
      </c>
      <c r="S3" s="3" t="n">
        <f aca="false">Q3/C3/(D3)^2</f>
        <v>0.256759113901971</v>
      </c>
      <c r="U3" s="20" t="n">
        <v>0.3021</v>
      </c>
      <c r="V3" s="20" t="n">
        <v>0.4055</v>
      </c>
      <c r="W3" s="18" t="n">
        <f aca="false">U3/C3/(D3)^2</f>
        <v>0.204392432963862</v>
      </c>
      <c r="X3" s="3" t="n">
        <f aca="false">V3/C3/(D3)^2</f>
        <v>0.274349988635703</v>
      </c>
      <c r="Y3" s="2"/>
      <c r="Z3" s="20" t="n">
        <v>0.3154</v>
      </c>
      <c r="AA3" s="20" t="n">
        <v>0.4362</v>
      </c>
      <c r="AB3" s="18" t="n">
        <f aca="false">Z3/C3/(D3)^2</f>
        <v>0.213390841962271</v>
      </c>
      <c r="AC3" s="3" t="n">
        <f aca="false">AA3/C3/(D3)^2</f>
        <v>0.295120752263609</v>
      </c>
    </row>
    <row r="4" customFormat="false" ht="12.8" hidden="false" customHeight="false" outlineLevel="0" collapsed="false">
      <c r="A4" s="1" t="s">
        <v>18</v>
      </c>
      <c r="B4" s="2" t="n">
        <v>0.153</v>
      </c>
      <c r="C4" s="18" t="n">
        <f aca="false">B4*1.225/2</f>
        <v>0.0937125</v>
      </c>
      <c r="D4" s="3" t="n">
        <v>7.5</v>
      </c>
      <c r="E4" s="2"/>
      <c r="F4" s="20" t="n">
        <v>4.584</v>
      </c>
      <c r="G4" s="20" t="n">
        <v>-0.996</v>
      </c>
      <c r="H4" s="18" t="n">
        <f aca="false">F4/C4/(D4)^2</f>
        <v>0.869610066248722</v>
      </c>
      <c r="I4" s="4" t="n">
        <f aca="false">G4/C4/(D4)^2</f>
        <v>-0.188946689787026</v>
      </c>
      <c r="K4" s="20" t="n">
        <v>4.253</v>
      </c>
      <c r="L4" s="20" t="n">
        <v>0.06366</v>
      </c>
      <c r="M4" s="18" t="n">
        <f aca="false">K4/C4/(D4)^2</f>
        <v>0.806817541831547</v>
      </c>
      <c r="N4" s="3" t="n">
        <f aca="false">L4/C4/(D4)^2</f>
        <v>0.0120766528833756</v>
      </c>
      <c r="P4" s="20" t="n">
        <v>3.492</v>
      </c>
      <c r="Q4" s="20" t="n">
        <v>0.8135</v>
      </c>
      <c r="R4" s="18" t="n">
        <f aca="false">P4/C4/(D4)^2</f>
        <v>0.662451647325597</v>
      </c>
      <c r="S4" s="3" t="n">
        <f aca="false">Q4/C4/(D4)^2</f>
        <v>0.154325433877255</v>
      </c>
      <c r="U4" s="20" t="n">
        <v>4.125</v>
      </c>
      <c r="V4" s="20" t="n">
        <v>0.1289</v>
      </c>
      <c r="W4" s="18" t="n">
        <f aca="false">U4/C4/(D4)^2</f>
        <v>0.782535236316749</v>
      </c>
      <c r="X4" s="3" t="n">
        <f aca="false">V4/C4/(D4)^2</f>
        <v>0.0244530404754494</v>
      </c>
      <c r="Y4" s="2"/>
      <c r="Z4" s="20" t="n">
        <v>4.815</v>
      </c>
      <c r="AA4" s="20" t="n">
        <v>-1.487</v>
      </c>
      <c r="AB4" s="18" t="n">
        <f aca="false">Z4/C4/(D4)^2</f>
        <v>0.91343203948246</v>
      </c>
      <c r="AC4" s="3" t="n">
        <f aca="false">AA4/C4/(D4)^2</f>
        <v>-0.282092096097698</v>
      </c>
    </row>
    <row r="5" customFormat="false" ht="12.8" hidden="false" customHeight="false" outlineLevel="0" collapsed="false">
      <c r="A5" s="1" t="s">
        <v>19</v>
      </c>
      <c r="B5" s="2" t="n">
        <v>0.0484</v>
      </c>
      <c r="C5" s="18" t="n">
        <f aca="false">B5*1.225/2</f>
        <v>0.029645</v>
      </c>
      <c r="D5" s="3" t="n">
        <v>7.5</v>
      </c>
      <c r="E5" s="2"/>
      <c r="F5" s="20" t="n">
        <v>1.379</v>
      </c>
      <c r="G5" s="20" t="n">
        <v>-0.7746</v>
      </c>
      <c r="H5" s="18" t="n">
        <f aca="false">F5/C5/(D5)^2</f>
        <v>0.826971008789191</v>
      </c>
      <c r="I5" s="4" t="n">
        <f aca="false">G5/C5/(D5)^2</f>
        <v>-0.464519030752797</v>
      </c>
      <c r="K5" s="20" t="n">
        <v>1.273</v>
      </c>
      <c r="L5" s="20" t="n">
        <v>-0.7735</v>
      </c>
      <c r="M5" s="18" t="n">
        <f aca="false">K5/C5/(D5)^2</f>
        <v>0.763403984183205</v>
      </c>
      <c r="N5" s="3" t="n">
        <f aca="false">L5/C5/(D5)^2</f>
        <v>-0.463859372950282</v>
      </c>
      <c r="P5" s="20" t="n">
        <v>1.106</v>
      </c>
      <c r="Q5" s="20" t="n">
        <v>-0.4303</v>
      </c>
      <c r="R5" s="18" t="n">
        <f aca="false">P5/C5/(D5)^2</f>
        <v>0.663255935983209</v>
      </c>
      <c r="S5" s="3" t="n">
        <f aca="false">Q5/C5/(D5)^2</f>
        <v>-0.258046138565619</v>
      </c>
      <c r="U5" s="20" t="n">
        <v>1.078</v>
      </c>
      <c r="V5" s="20" t="n">
        <v>-0.7009</v>
      </c>
      <c r="W5" s="18" t="n">
        <f aca="false">U5/C5/(D5)^2</f>
        <v>0.646464646464646</v>
      </c>
      <c r="X5" s="3" t="n">
        <f aca="false">V5/C5/(D5)^2</f>
        <v>-0.420321957984296</v>
      </c>
      <c r="Y5" s="2"/>
      <c r="Z5" s="20" t="n">
        <v>1.393</v>
      </c>
      <c r="AA5" s="20" t="n">
        <v>-0.8443</v>
      </c>
      <c r="AB5" s="18" t="n">
        <f aca="false">Z5/C5/(D5)^2</f>
        <v>0.835366653548472</v>
      </c>
      <c r="AC5" s="3" t="n">
        <f aca="false">AA5/C5/(D5)^2</f>
        <v>-0.506317347875789</v>
      </c>
    </row>
    <row r="6" customFormat="false" ht="12.65" hidden="false" customHeight="true" outlineLevel="0" collapsed="false">
      <c r="A6" s="1" t="s">
        <v>20</v>
      </c>
      <c r="B6" s="2" t="n">
        <v>0.0136</v>
      </c>
      <c r="C6" s="18" t="n">
        <f aca="false">B6*1.225/2</f>
        <v>0.00833</v>
      </c>
      <c r="D6" s="3" t="n">
        <v>7.5</v>
      </c>
      <c r="E6" s="2"/>
      <c r="F6" s="20" t="n">
        <v>0.1182</v>
      </c>
      <c r="G6" s="20" t="n">
        <v>-0.1341</v>
      </c>
      <c r="H6" s="18" t="n">
        <f aca="false">F6/C6/(D6)^2</f>
        <v>0.252260904361745</v>
      </c>
      <c r="I6" s="4" t="n">
        <f aca="false">G6/C6/(D6)^2</f>
        <v>-0.286194477791116</v>
      </c>
      <c r="K6" s="20" t="n">
        <v>0.1304</v>
      </c>
      <c r="L6" s="20" t="n">
        <v>-0.05525</v>
      </c>
      <c r="M6" s="18" t="n">
        <f aca="false">K6/C6/(D6)^2</f>
        <v>0.278297985861011</v>
      </c>
      <c r="N6" s="3" t="n">
        <f aca="false">L6/C6/(D6)^2</f>
        <v>-0.117913832199546</v>
      </c>
      <c r="P6" s="20" t="n">
        <v>-0.02067</v>
      </c>
      <c r="Q6" s="20" t="n">
        <v>-0.01385</v>
      </c>
      <c r="R6" s="18" t="n">
        <f aca="false">P6/C6/(D6)^2</f>
        <v>-0.0441136454581833</v>
      </c>
      <c r="S6" s="3" t="n">
        <f aca="false">Q6/C6/(D6)^2</f>
        <v>-0.0295584900626917</v>
      </c>
      <c r="U6" s="20" t="n">
        <v>0.2312</v>
      </c>
      <c r="V6" s="20" t="n">
        <v>-0.0105</v>
      </c>
      <c r="W6" s="18" t="n">
        <f aca="false">U6/C6/(D6)^2</f>
        <v>0.493424036281179</v>
      </c>
      <c r="X6" s="3" t="n">
        <f aca="false">V6/C6/(D6)^2</f>
        <v>-0.0224089635854342</v>
      </c>
      <c r="Y6" s="2"/>
      <c r="Z6" s="20" t="n">
        <v>0.3186</v>
      </c>
      <c r="AA6" s="20" t="n">
        <v>0.05834</v>
      </c>
      <c r="AB6" s="18" t="n">
        <f aca="false">Z6/C6/(D6)^2</f>
        <v>0.679951980792317</v>
      </c>
      <c r="AC6" s="3" t="n">
        <f aca="false">AA6/C6/(D6)^2</f>
        <v>0.124508470054689</v>
      </c>
    </row>
    <row r="7" customFormat="false" ht="12.8" hidden="false" customHeight="false" outlineLevel="0" collapsed="false">
      <c r="A7" s="1" t="s">
        <v>21</v>
      </c>
      <c r="B7" s="2" t="n">
        <v>0.0136</v>
      </c>
      <c r="C7" s="18" t="n">
        <f aca="false">B7*1.225/2</f>
        <v>0.00833</v>
      </c>
      <c r="D7" s="3" t="n">
        <v>7.5</v>
      </c>
      <c r="E7" s="2"/>
      <c r="F7" s="20" t="n">
        <v>0.1283</v>
      </c>
      <c r="G7" s="20" t="n">
        <v>-0.1443</v>
      </c>
      <c r="H7" s="18" t="n">
        <f aca="false">F7/C7/(D7)^2</f>
        <v>0.273816193143924</v>
      </c>
      <c r="I7" s="4" t="n">
        <f aca="false">G7/C7/(D7)^2</f>
        <v>-0.30796318527411</v>
      </c>
      <c r="K7" s="20" t="n">
        <v>0.3253</v>
      </c>
      <c r="L7" s="20" t="n">
        <v>-0.1685</v>
      </c>
      <c r="M7" s="18" t="n">
        <f aca="false">K7/C7/(D7)^2</f>
        <v>0.694251033746832</v>
      </c>
      <c r="N7" s="3" t="n">
        <f aca="false">L7/C7/(D7)^2</f>
        <v>-0.359610510871015</v>
      </c>
      <c r="P7" s="20" t="n">
        <v>0.006402</v>
      </c>
      <c r="Q7" s="20" t="n">
        <v>0.06442</v>
      </c>
      <c r="R7" s="18" t="n">
        <f aca="false">P7/C7/(D7)^2</f>
        <v>0.0136630652260904</v>
      </c>
      <c r="S7" s="3" t="n">
        <f aca="false">Q7/C7/(D7)^2</f>
        <v>0.137484327064159</v>
      </c>
      <c r="U7" s="20" t="n">
        <v>0.4434</v>
      </c>
      <c r="V7" s="20" t="n">
        <v>-0.05989</v>
      </c>
      <c r="W7" s="18" t="n">
        <f aca="false">U7/C7/(D7)^2</f>
        <v>0.946298519407763</v>
      </c>
      <c r="X7" s="3" t="n">
        <f aca="false">V7/C7/(D7)^2</f>
        <v>-0.1278164599173</v>
      </c>
      <c r="Y7" s="2"/>
      <c r="Z7" s="20" t="n">
        <v>0.3133</v>
      </c>
      <c r="AA7" s="20" t="n">
        <v>0.0594</v>
      </c>
      <c r="AB7" s="18" t="n">
        <f aca="false">Z7/C7/(D7)^2</f>
        <v>0.668640789649193</v>
      </c>
      <c r="AC7" s="3" t="n">
        <f aca="false">AA7/C7/(D7)^2</f>
        <v>0.126770708283313</v>
      </c>
    </row>
    <row r="8" customFormat="false" ht="12.8" hidden="false" customHeight="false" outlineLevel="0" collapsed="false">
      <c r="A8" s="1" t="s">
        <v>22</v>
      </c>
      <c r="B8" s="2" t="n">
        <v>0.0433</v>
      </c>
      <c r="C8" s="18" t="n">
        <f aca="false">B8*1.225/2</f>
        <v>0.02652125</v>
      </c>
      <c r="D8" s="3" t="n">
        <v>7.5</v>
      </c>
      <c r="E8" s="2"/>
      <c r="F8" s="20" t="n">
        <v>1.751</v>
      </c>
      <c r="G8" s="20" t="n">
        <v>-0.08667</v>
      </c>
      <c r="H8" s="18" t="n">
        <f aca="false">F8/C8/(D8)^2</f>
        <v>1.17373385073814</v>
      </c>
      <c r="I8" s="4" t="n">
        <f aca="false">G8/C8/(D8)^2</f>
        <v>-0.0580968091624641</v>
      </c>
      <c r="K8" s="20" t="n">
        <v>0.7656</v>
      </c>
      <c r="L8" s="20" t="n">
        <v>-0.1668</v>
      </c>
      <c r="M8" s="18" t="n">
        <f aca="false">K8/C8/(D8)^2</f>
        <v>0.513198535765345</v>
      </c>
      <c r="N8" s="3" t="n">
        <f aca="false">L8/C8/(D8)^2</f>
        <v>-0.111809712337591</v>
      </c>
      <c r="P8" s="20" t="n">
        <v>0.3958</v>
      </c>
      <c r="Q8" s="20" t="n">
        <v>0.1461</v>
      </c>
      <c r="R8" s="18" t="n">
        <f aca="false">P8/C8/(D8)^2</f>
        <v>0.265313454096034</v>
      </c>
      <c r="S8" s="3" t="n">
        <f aca="false">Q8/C8/(D8)^2</f>
        <v>0.0979340465978539</v>
      </c>
      <c r="U8" s="20" t="n">
        <v>0.6032</v>
      </c>
      <c r="V8" s="20" t="n">
        <v>0.141</v>
      </c>
      <c r="W8" s="18" t="n">
        <f aca="false">U8/C8/(D8)^2</f>
        <v>0.404338240299969</v>
      </c>
      <c r="X8" s="3" t="n">
        <f aca="false">V8/C8/(D8)^2</f>
        <v>0.0945154043141506</v>
      </c>
      <c r="Y8" s="2"/>
      <c r="Z8" s="20" t="n">
        <v>1.067</v>
      </c>
      <c r="AA8" s="20" t="n">
        <v>-0.2817</v>
      </c>
      <c r="AB8" s="18" t="n">
        <f aca="false">Z8/C8/(D8)^2</f>
        <v>0.715233591512047</v>
      </c>
      <c r="AC8" s="3" t="n">
        <f aca="false">AA8/C8/(D8)^2</f>
        <v>-0.188829712023377</v>
      </c>
    </row>
    <row r="9" customFormat="false" ht="12.8" hidden="false" customHeight="false" outlineLevel="0" collapsed="false">
      <c r="A9" s="1" t="s">
        <v>23</v>
      </c>
      <c r="B9" s="2" t="n">
        <v>0.0433</v>
      </c>
      <c r="C9" s="18" t="n">
        <f aca="false">B9*1.225/2</f>
        <v>0.02652125</v>
      </c>
      <c r="D9" s="3" t="n">
        <v>7.5</v>
      </c>
      <c r="E9" s="2"/>
      <c r="F9" s="20" t="n">
        <v>1.659</v>
      </c>
      <c r="G9" s="20" t="n">
        <v>-0.1256</v>
      </c>
      <c r="H9" s="18" t="n">
        <f aca="false">F9/C9/(D9)^2</f>
        <v>1.1120642252282</v>
      </c>
      <c r="I9" s="4" t="n">
        <f aca="false">G9/C9/(D9)^2</f>
        <v>-0.0841924452613994</v>
      </c>
      <c r="K9" s="20" t="n">
        <v>1.118</v>
      </c>
      <c r="L9" s="20" t="n">
        <v>-0.2439</v>
      </c>
      <c r="M9" s="18" t="n">
        <f aca="false">K9/C9/(D9)^2</f>
        <v>0.749420014349081</v>
      </c>
      <c r="N9" s="3" t="n">
        <f aca="false">L9/C9/(D9)^2</f>
        <v>-0.163491539802988</v>
      </c>
      <c r="P9" s="20" t="n">
        <v>0.821</v>
      </c>
      <c r="Q9" s="20" t="n">
        <v>-0.04604</v>
      </c>
      <c r="R9" s="18" t="n">
        <f aca="false">P9/C9/(D9)^2</f>
        <v>0.550334375474593</v>
      </c>
      <c r="S9" s="3" t="n">
        <f aca="false">Q9/C9/(D9)^2</f>
        <v>-0.0308616256356276</v>
      </c>
      <c r="U9" s="20" t="n">
        <v>1.365</v>
      </c>
      <c r="V9" s="20" t="n">
        <v>0.2255</v>
      </c>
      <c r="W9" s="18" t="n">
        <f aca="false">U9/C9/(D9)^2</f>
        <v>0.914989552402947</v>
      </c>
      <c r="X9" s="3" t="n">
        <f aca="false">V9/C9/(D9)^2</f>
        <v>0.151157614701</v>
      </c>
      <c r="Y9" s="2"/>
      <c r="Z9" s="20" t="n">
        <v>1.099</v>
      </c>
      <c r="AA9" s="20" t="n">
        <v>-0.3098</v>
      </c>
      <c r="AB9" s="18" t="n">
        <f aca="false">Z9/C9/(D9)^2</f>
        <v>0.736683896037245</v>
      </c>
      <c r="AC9" s="3" t="n">
        <f aca="false">AA9/C9/(D9)^2</f>
        <v>-0.207665760684566</v>
      </c>
    </row>
    <row r="10" customFormat="false" ht="12.8" hidden="false" customHeight="false" outlineLevel="0" collapsed="false">
      <c r="A10" s="1" t="s">
        <v>24</v>
      </c>
      <c r="B10" s="2" t="n">
        <v>0.0247</v>
      </c>
      <c r="C10" s="18" t="n">
        <f aca="false">B10*1.225/2</f>
        <v>0.01512875</v>
      </c>
      <c r="D10" s="3" t="n">
        <v>7.5</v>
      </c>
      <c r="E10" s="2"/>
      <c r="F10" s="20" t="n">
        <v>0.7832</v>
      </c>
      <c r="G10" s="20" t="n">
        <v>-0.2132</v>
      </c>
      <c r="H10" s="18" t="n">
        <f aca="false">F10/C10/(D10)^2</f>
        <v>0.920337473720932</v>
      </c>
      <c r="I10" s="4" t="n">
        <f aca="false">G10/C10/(D10)^2</f>
        <v>-0.250531089628834</v>
      </c>
      <c r="K10" s="20" t="n">
        <v>0.671</v>
      </c>
      <c r="L10" s="20" t="n">
        <v>-0.1563</v>
      </c>
      <c r="M10" s="18" t="n">
        <f aca="false">K10/C10/(D10)^2</f>
        <v>0.78849137495754</v>
      </c>
      <c r="N10" s="3" t="n">
        <f aca="false">L10/C10/(D10)^2</f>
        <v>-0.18366796111157</v>
      </c>
      <c r="P10" s="20" t="n">
        <v>0.4493</v>
      </c>
      <c r="Q10" s="20" t="n">
        <v>-0.1478</v>
      </c>
      <c r="R10" s="18" t="n">
        <f aca="false">P10/C10/(D10)^2</f>
        <v>0.527971944513298</v>
      </c>
      <c r="S10" s="3" t="n">
        <f aca="false">Q10/C10/(D10)^2</f>
        <v>-0.173679620296162</v>
      </c>
      <c r="U10" s="20" t="n">
        <v>0.5845</v>
      </c>
      <c r="V10" s="20" t="n">
        <v>-0.1632</v>
      </c>
      <c r="W10" s="18" t="n">
        <f aca="false">U10/C10/(D10)^2</f>
        <v>0.686845318424266</v>
      </c>
      <c r="X10" s="3" t="n">
        <f aca="false">V10/C10/(D10)^2</f>
        <v>-0.191776143655843</v>
      </c>
      <c r="Y10" s="2"/>
      <c r="Z10" s="20" t="n">
        <v>0.7804</v>
      </c>
      <c r="AA10" s="20" t="n">
        <v>-0.2011</v>
      </c>
      <c r="AB10" s="18" t="n">
        <f aca="false">Z10/C10/(D10)^2</f>
        <v>0.917047196746445</v>
      </c>
      <c r="AC10" s="3" t="n">
        <f aca="false">AA10/C10/(D10)^2</f>
        <v>-0.23631239270337</v>
      </c>
    </row>
    <row r="11" customFormat="false" ht="12.8" hidden="false" customHeight="false" outlineLevel="0" collapsed="false">
      <c r="A11" s="1" t="s">
        <v>25</v>
      </c>
      <c r="B11" s="2" t="n">
        <v>0.0247</v>
      </c>
      <c r="C11" s="18" t="n">
        <f aca="false">B11*1.225/2</f>
        <v>0.01512875</v>
      </c>
      <c r="D11" s="3" t="n">
        <v>7.5</v>
      </c>
      <c r="E11" s="2"/>
      <c r="F11" s="20" t="n">
        <v>0.7627</v>
      </c>
      <c r="G11" s="20" t="n">
        <v>-0.1716</v>
      </c>
      <c r="H11" s="18" t="n">
        <f aca="false">F11/C11/(D11)^2</f>
        <v>0.896247945872006</v>
      </c>
      <c r="I11" s="4" t="n">
        <f aca="false">G11/C11/(D11)^2</f>
        <v>-0.201646974579305</v>
      </c>
      <c r="K11" s="20" t="n">
        <v>0.6106</v>
      </c>
      <c r="L11" s="20" t="n">
        <v>-0.17</v>
      </c>
      <c r="M11" s="18" t="n">
        <f aca="false">K11/C11/(D11)^2</f>
        <v>0.717515400222167</v>
      </c>
      <c r="N11" s="3" t="n">
        <f aca="false">L11/C11/(D11)^2</f>
        <v>-0.19976681630817</v>
      </c>
      <c r="P11" s="20" t="n">
        <v>0.2413</v>
      </c>
      <c r="Q11" s="20" t="n">
        <v>-0.2309</v>
      </c>
      <c r="R11" s="18" t="n">
        <f aca="false">P11/C11/(D11)^2</f>
        <v>0.283551369265655</v>
      </c>
      <c r="S11" s="3" t="n">
        <f aca="false">Q11/C11/(D11)^2</f>
        <v>-0.271330340503273</v>
      </c>
      <c r="U11" s="20" t="n">
        <v>0.9625</v>
      </c>
      <c r="V11" s="20" t="n">
        <v>-0.4439</v>
      </c>
      <c r="W11" s="18" t="n">
        <f aca="false">U11/C11/(D11)^2</f>
        <v>1.13103270998008</v>
      </c>
      <c r="X11" s="3" t="n">
        <f aca="false">V11/C11/(D11)^2</f>
        <v>-0.521626410348215</v>
      </c>
      <c r="Y11" s="2"/>
      <c r="Z11" s="20" t="n">
        <v>0.7997</v>
      </c>
      <c r="AA11" s="20" t="n">
        <v>-0.2039</v>
      </c>
      <c r="AB11" s="18" t="n">
        <f aca="false">Z11/C11/(D11)^2</f>
        <v>0.939726605892019</v>
      </c>
      <c r="AC11" s="3" t="n">
        <f aca="false">AA11/C11/(D11)^2</f>
        <v>-0.239602669677858</v>
      </c>
    </row>
    <row r="12" customFormat="false" ht="12.8" hidden="false" customHeight="false" outlineLevel="0" collapsed="false">
      <c r="A12" s="1" t="s">
        <v>26</v>
      </c>
      <c r="B12" s="2" t="n">
        <v>0.026</v>
      </c>
      <c r="C12" s="18" t="n">
        <f aca="false">B12*1.225/2</f>
        <v>0.015925</v>
      </c>
      <c r="D12" s="3" t="n">
        <v>7.5</v>
      </c>
      <c r="E12" s="2"/>
      <c r="F12" s="20" t="n">
        <v>0.6848</v>
      </c>
      <c r="G12" s="20" t="n">
        <v>-0.4701</v>
      </c>
      <c r="H12" s="18" t="n">
        <f aca="false">F12/C12/(D12)^2</f>
        <v>0.764472353043782</v>
      </c>
      <c r="I12" s="4" t="n">
        <f aca="false">G12/C12/(D12)^2</f>
        <v>-0.524793301936159</v>
      </c>
      <c r="K12" s="20" t="n">
        <v>0.5367</v>
      </c>
      <c r="L12" s="20" t="n">
        <v>-0.3992</v>
      </c>
      <c r="M12" s="18" t="n">
        <f aca="false">K12/C12/(D12)^2</f>
        <v>0.599141810570382</v>
      </c>
      <c r="N12" s="3" t="n">
        <f aca="false">L12/C12/(D12)^2</f>
        <v>-0.445644514215943</v>
      </c>
      <c r="P12" s="20" t="n">
        <v>0.4348</v>
      </c>
      <c r="Q12" s="20" t="n">
        <v>-0.2938</v>
      </c>
      <c r="R12" s="18" t="n">
        <f aca="false">P12/C12/(D12)^2</f>
        <v>0.485386359672074</v>
      </c>
      <c r="S12" s="3" t="n">
        <f aca="false">Q12/C12/(D12)^2</f>
        <v>-0.327981859410431</v>
      </c>
      <c r="U12" s="20" t="n">
        <v>0.4361</v>
      </c>
      <c r="V12" s="20" t="n">
        <v>-0.3149</v>
      </c>
      <c r="W12" s="18" t="n">
        <f aca="false">U12/C12/(D12)^2</f>
        <v>0.486837606837607</v>
      </c>
      <c r="X12" s="3" t="n">
        <f aca="false">V12/C12/(D12)^2</f>
        <v>-0.351536717251003</v>
      </c>
      <c r="Y12" s="2"/>
      <c r="Z12" s="20" t="n">
        <v>0.7001</v>
      </c>
      <c r="AA12" s="20" t="n">
        <v>-0.4822</v>
      </c>
      <c r="AB12" s="18" t="n">
        <f aca="false">Z12/C12/(D12)^2</f>
        <v>0.78155241583813</v>
      </c>
      <c r="AC12" s="3" t="n">
        <f aca="false">AA12/C12/(D12)^2</f>
        <v>-0.53830106401535</v>
      </c>
    </row>
    <row r="13" customFormat="false" ht="12.8" hidden="false" customHeight="false" outlineLevel="0" collapsed="false">
      <c r="A13" s="1" t="s">
        <v>27</v>
      </c>
      <c r="B13" s="2" t="n">
        <v>0.026</v>
      </c>
      <c r="C13" s="18" t="n">
        <f aca="false">B13*1.225/2</f>
        <v>0.015925</v>
      </c>
      <c r="D13" s="3" t="n">
        <v>7.5</v>
      </c>
      <c r="E13" s="2"/>
      <c r="F13" s="20" t="n">
        <v>0.687</v>
      </c>
      <c r="G13" s="20" t="n">
        <v>-0.4713</v>
      </c>
      <c r="H13" s="18" t="n">
        <f aca="false">F13/C13/(D13)^2</f>
        <v>0.766928309785453</v>
      </c>
      <c r="I13" s="4" t="n">
        <f aca="false">G13/C13/(D13)^2</f>
        <v>-0.526132914704343</v>
      </c>
      <c r="K13" s="20" t="n">
        <v>0.6411</v>
      </c>
      <c r="L13" s="20" t="n">
        <v>-0.4335</v>
      </c>
      <c r="M13" s="18" t="n">
        <f aca="false">K13/C13/(D13)^2</f>
        <v>0.715688121402407</v>
      </c>
      <c r="N13" s="3" t="n">
        <f aca="false">L13/C13/(D13)^2</f>
        <v>-0.483935112506541</v>
      </c>
      <c r="P13" s="20" t="n">
        <v>0.3621</v>
      </c>
      <c r="Q13" s="20" t="n">
        <v>-0.2217</v>
      </c>
      <c r="R13" s="18" t="n">
        <f aca="false">P13/C13/(D13)^2</f>
        <v>0.404228152799581</v>
      </c>
      <c r="S13" s="3" t="n">
        <f aca="false">Q13/C13/(D13)^2</f>
        <v>-0.24749345892203</v>
      </c>
      <c r="U13" s="20" t="n">
        <v>0.7963</v>
      </c>
      <c r="V13" s="20" t="n">
        <v>-0.5267</v>
      </c>
      <c r="W13" s="18" t="n">
        <f aca="false">U13/C13/(D13)^2</f>
        <v>0.888944706087563</v>
      </c>
      <c r="X13" s="3" t="n">
        <f aca="false">V13/C13/(D13)^2</f>
        <v>-0.587978370835514</v>
      </c>
      <c r="Y13" s="2"/>
      <c r="Z13" s="20" t="n">
        <v>0.692</v>
      </c>
      <c r="AA13" s="20" t="n">
        <v>-0.4751</v>
      </c>
      <c r="AB13" s="18" t="n">
        <f aca="false">Z13/C13/(D13)^2</f>
        <v>0.772510029652887</v>
      </c>
      <c r="AC13" s="3" t="n">
        <f aca="false">AA13/C13/(D13)^2</f>
        <v>-0.530375021803593</v>
      </c>
    </row>
    <row r="14" customFormat="false" ht="12.8" hidden="false" customHeight="false" outlineLevel="0" collapsed="false">
      <c r="A14" s="1" t="s">
        <v>28</v>
      </c>
      <c r="B14" s="2" t="n">
        <v>0.0052</v>
      </c>
      <c r="C14" s="18" t="n">
        <f aca="false">B14*1.225/2</f>
        <v>0.003185</v>
      </c>
      <c r="D14" s="3" t="n">
        <v>7.5</v>
      </c>
      <c r="E14" s="2"/>
      <c r="F14" s="20" t="n">
        <v>0.1394</v>
      </c>
      <c r="G14" s="20" t="n">
        <v>-0.1296</v>
      </c>
      <c r="H14" s="18" t="n">
        <f aca="false">F14/C14/(D14)^2</f>
        <v>0.778091749520321</v>
      </c>
      <c r="I14" s="4" t="n">
        <f aca="false">G14/C14/(D14)^2</f>
        <v>-0.723390894819466</v>
      </c>
      <c r="K14" s="20" t="n">
        <v>0.1406</v>
      </c>
      <c r="L14" s="20" t="n">
        <v>-0.1278</v>
      </c>
      <c r="M14" s="18" t="n">
        <f aca="false">K14/C14/(D14)^2</f>
        <v>0.784789813361242</v>
      </c>
      <c r="N14" s="3" t="n">
        <f aca="false">L14/C14/(D14)^2</f>
        <v>-0.713343799058085</v>
      </c>
      <c r="P14" s="20" t="n">
        <v>0.1717</v>
      </c>
      <c r="Q14" s="20" t="n">
        <v>-0.1168</v>
      </c>
      <c r="R14" s="18" t="n">
        <f aca="false">P14/C14/(D14)^2</f>
        <v>0.958381301238444</v>
      </c>
      <c r="S14" s="3" t="n">
        <f aca="false">Q14/C14/(D14)^2</f>
        <v>-0.651944880516309</v>
      </c>
      <c r="U14" s="20" t="n">
        <v>0.1385</v>
      </c>
      <c r="V14" s="20" t="n">
        <v>-0.1137</v>
      </c>
      <c r="W14" s="18" t="n">
        <f aca="false">U14/C14/(D14)^2</f>
        <v>0.77306820163963</v>
      </c>
      <c r="X14" s="3" t="n">
        <f aca="false">V14/C14/(D14)^2</f>
        <v>-0.634641548927263</v>
      </c>
      <c r="Y14" s="2"/>
      <c r="Z14" s="20" t="n">
        <v>0.1475</v>
      </c>
      <c r="AA14" s="20" t="n">
        <v>-0.1347</v>
      </c>
      <c r="AB14" s="18" t="n">
        <f aca="false">Z14/C14/(D14)^2</f>
        <v>0.823303680446537</v>
      </c>
      <c r="AC14" s="3" t="n">
        <f aca="false">AA14/C14/(D14)^2</f>
        <v>-0.75185766614338</v>
      </c>
    </row>
    <row r="15" customFormat="false" ht="12.8" hidden="false" customHeight="false" outlineLevel="0" collapsed="false">
      <c r="A15" s="1" t="s">
        <v>29</v>
      </c>
      <c r="B15" s="2" t="n">
        <v>0.0052</v>
      </c>
      <c r="C15" s="18" t="n">
        <f aca="false">B15*1.225/2</f>
        <v>0.003185</v>
      </c>
      <c r="D15" s="3" t="n">
        <v>7.5</v>
      </c>
      <c r="E15" s="2"/>
      <c r="F15" s="20" t="n">
        <v>0.1395</v>
      </c>
      <c r="G15" s="20" t="n">
        <v>-0.1286</v>
      </c>
      <c r="H15" s="18" t="n">
        <f aca="false">F15/C15/(D15)^2</f>
        <v>0.778649921507064</v>
      </c>
      <c r="I15" s="4" t="n">
        <f aca="false">G15/C15/(D15)^2</f>
        <v>-0.717809174952032</v>
      </c>
      <c r="K15" s="20" t="n">
        <v>0.1588</v>
      </c>
      <c r="L15" s="20" t="n">
        <v>-0.1183</v>
      </c>
      <c r="M15" s="18" t="n">
        <f aca="false">K15/C15/(D15)^2</f>
        <v>0.886377114948543</v>
      </c>
      <c r="N15" s="3" t="n">
        <f aca="false">L15/C15/(D15)^2</f>
        <v>-0.66031746031746</v>
      </c>
      <c r="P15" s="20" t="n">
        <v>0.1224</v>
      </c>
      <c r="Q15" s="20" t="n">
        <v>-0.05859</v>
      </c>
      <c r="R15" s="18" t="n">
        <f aca="false">P15/C15/(D15)^2</f>
        <v>0.68320251177394</v>
      </c>
      <c r="S15" s="3" t="n">
        <f aca="false">Q15/C15/(D15)^2</f>
        <v>-0.327032967032967</v>
      </c>
      <c r="U15" s="20" t="n">
        <v>0.1565</v>
      </c>
      <c r="V15" s="20" t="n">
        <v>-0.1151</v>
      </c>
      <c r="W15" s="18" t="n">
        <f aca="false">U15/C15/(D15)^2</f>
        <v>0.873539159253445</v>
      </c>
      <c r="X15" s="3" t="n">
        <f aca="false">V15/C15/(D15)^2</f>
        <v>-0.642455956741671</v>
      </c>
      <c r="Y15" s="2"/>
      <c r="Z15" s="20" t="n">
        <v>0.1456</v>
      </c>
      <c r="AA15" s="20" t="n">
        <v>-0.1327</v>
      </c>
      <c r="AB15" s="18" t="n">
        <f aca="false">Z15/C15/(D15)^2</f>
        <v>0.812698412698413</v>
      </c>
      <c r="AC15" s="3" t="n">
        <f aca="false">AA15/C15/(D15)^2</f>
        <v>-0.740694226408512</v>
      </c>
    </row>
    <row r="16" customFormat="false" ht="12.8" hidden="false" customHeight="false" outlineLevel="0" collapsed="false">
      <c r="A16" s="1" t="s">
        <v>30</v>
      </c>
      <c r="D16" s="3" t="n">
        <v>7.5</v>
      </c>
      <c r="E16" s="2" t="n">
        <v>180</v>
      </c>
      <c r="F16" s="21" t="n">
        <f aca="false">SUM(F3:F15)</f>
        <v>13.0472</v>
      </c>
      <c r="G16" s="21" t="n">
        <f aca="false">SUM(G3:G15)</f>
        <v>-3.52627</v>
      </c>
      <c r="H16" s="4" t="n">
        <f aca="false">F16/(D16^2)</f>
        <v>0.231950222222222</v>
      </c>
      <c r="I16" s="4" t="n">
        <f aca="false">G16/(D16^2)</f>
        <v>-0.0626892444444444</v>
      </c>
      <c r="J16" s="2" t="n">
        <v>225</v>
      </c>
      <c r="K16" s="21" t="n">
        <f aca="false">SUM(K3:K15)</f>
        <v>10.9839</v>
      </c>
      <c r="L16" s="21" t="n">
        <f aca="false">SUM(L3:L15)</f>
        <v>-2.32779</v>
      </c>
      <c r="M16" s="4" t="n">
        <f aca="false">K16/(D16^2)</f>
        <v>0.195269333333333</v>
      </c>
      <c r="N16" s="4" t="n">
        <f aca="false">L16/(D16^2)</f>
        <v>-0.0413829333333333</v>
      </c>
      <c r="O16" s="2" t="n">
        <v>270</v>
      </c>
      <c r="P16" s="22" t="n">
        <f aca="false">SUM(P3:P15)</f>
        <v>8.088832</v>
      </c>
      <c r="Q16" s="22" t="n">
        <f aca="false">SUM(Q3:Q15)</f>
        <v>-0.15626</v>
      </c>
      <c r="R16" s="4" t="n">
        <f aca="false">P16/(D16^2)</f>
        <v>0.143801457777778</v>
      </c>
      <c r="S16" s="4" t="n">
        <f aca="false">Q16/(D16^2)</f>
        <v>-0.00277795555555556</v>
      </c>
      <c r="T16" s="2" t="n">
        <v>315</v>
      </c>
      <c r="U16" s="22" t="n">
        <f aca="false">SUM(U3:U15)</f>
        <v>11.2223</v>
      </c>
      <c r="V16" s="22" t="n">
        <f aca="false">SUM(V3:V15)</f>
        <v>-1.54789</v>
      </c>
      <c r="W16" s="4" t="n">
        <f aca="false">U16/(D16^2)</f>
        <v>0.199507555555556</v>
      </c>
      <c r="X16" s="4" t="n">
        <f aca="false">V16/(D16^2)</f>
        <v>-0.0275180444444444</v>
      </c>
      <c r="Y16" s="1" t="n">
        <v>360</v>
      </c>
      <c r="Z16" s="22" t="n">
        <f aca="false">SUM(Z3:Z15)</f>
        <v>12.5866</v>
      </c>
      <c r="AA16" s="22" t="n">
        <f aca="false">SUM(AA3:AA15)</f>
        <v>-3.99856</v>
      </c>
      <c r="AB16" s="4" t="n">
        <f aca="false">Z16/(D16^2)</f>
        <v>0.223761777777778</v>
      </c>
      <c r="AC16" s="4" t="n">
        <f aca="false">AA16/(D16^2)</f>
        <v>-0.0710855111111111</v>
      </c>
    </row>
    <row r="17" customFormat="false" ht="12.8" hidden="false" customHeight="false" outlineLevel="0" collapsed="false">
      <c r="E17" s="2"/>
      <c r="F17" s="23"/>
      <c r="G17" s="23"/>
      <c r="H17" s="4"/>
      <c r="I17" s="3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2021-04-14T15:59:52Z</dcterms:created>
  <dc:creator>Fabio Di Natale</dc:creator>
  <dc:description/>
  <dc:language>en-US</dc:language>
  <cp:lastModifiedBy/>
  <dcterms:modified xsi:type="dcterms:W3CDTF">2021-11-15T10:39:25Z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0x0101003453DBADAB39B648B9B2161EAAF387BD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